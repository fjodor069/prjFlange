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pivotTables/pivotTable1.xml" ContentType="application/vnd.openxmlformats-officedocument.spreadsheetml.pivotTable+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trlProps/ctrlProp11.xml" ContentType="application/vnd.ms-excel.controlproperties+xml"/>
  <Override PartName="/xl/comments3.xml" ContentType="application/vnd.openxmlformats-officedocument.spreadsheetml.comments+xml"/>
  <Override PartName="/xl/drawings/drawing7.xml" ContentType="application/vnd.openxmlformats-officedocument.drawing+xml"/>
  <Override PartName="/xl/ctrlProps/ctrlProp12.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5" yWindow="5805" windowWidth="20805" windowHeight="5850" firstSheet="5" activeTab="10"/>
  </bookViews>
  <sheets>
    <sheet name="EN13445-3" sheetId="7" r:id="rId1"/>
    <sheet name="VES EN 13445 int" sheetId="10" r:id="rId2"/>
    <sheet name="AD B7-B8" sheetId="14" r:id="rId3"/>
    <sheet name="DIN2505" sheetId="13" r:id="rId4"/>
    <sheet name="DIN weld neck" sheetId="2" r:id="rId5"/>
    <sheet name="Rectangular" sheetId="9" r:id="rId6"/>
    <sheet name="VES D0701" sheetId="12" r:id="rId7"/>
    <sheet name="D0701" sheetId="3" r:id="rId8"/>
    <sheet name="gasket factors" sheetId="1" r:id="rId9"/>
    <sheet name="boltdata" sheetId="11" r:id="rId10"/>
    <sheet name="ASME" sheetId="8" r:id="rId11"/>
    <sheet name="Compatibility Report" sheetId="15" r:id="rId12"/>
  </sheets>
  <externalReferences>
    <externalReference r:id="rId13"/>
  </externalReferences>
  <definedNames>
    <definedName name="Bolt_number">'[1]Bolt data'!$A$8:$U$50</definedName>
    <definedName name="boltdimension">boltdata!$A$8:$AE$53</definedName>
    <definedName name="boltsize">boltdata!$B$8:$V$53</definedName>
    <definedName name="CLIENT">'DIN2505'!#REF!</definedName>
    <definedName name="CODENAME">'DIN2505'!#REF!</definedName>
    <definedName name="DATEPRINT">'DIN2505'!#REF!</definedName>
    <definedName name="ISSUE">'DIN2505'!#REF!</definedName>
    <definedName name="ITEMID">'DIN2505'!#REF!</definedName>
    <definedName name="JOBID">'DIN2505'!#REF!</definedName>
    <definedName name="LOCATION">'DIN2505'!#REF!</definedName>
    <definedName name="PAGE_NO_1">'DIN2505'!#REF!</definedName>
    <definedName name="PAGE_NO_2">'DIN2505'!$I$179</definedName>
    <definedName name="PARTID">'DIN2505'!#REF!</definedName>
    <definedName name="_xlnm.Print_Area" localSheetId="2">'AD B7-B8'!$A$1:$J$117</definedName>
    <definedName name="_xlnm.Print_Area" localSheetId="10">ASME!$A$1:$G$129</definedName>
    <definedName name="_xlnm.Print_Area" localSheetId="4">'DIN weld neck'!$A$1:$F$46</definedName>
    <definedName name="_xlnm.Print_Area" localSheetId="3">'DIN2505'!$A$1:$J$179</definedName>
    <definedName name="_xlnm.Print_Area" localSheetId="0">'EN13445-3'!$A$1:$G$149</definedName>
    <definedName name="_xlnm.Print_Area" localSheetId="6">'VES D0701'!$A$1:$J$126</definedName>
    <definedName name="_xlnm.Print_Area" localSheetId="1">'VES EN 13445 int'!$A$1:$I$175</definedName>
    <definedName name="REVISION">'DIN2505'!#REF!</definedName>
    <definedName name="SUBTITLE">'DIN2505'!$C$2</definedName>
    <definedName name="TITLE">'DIN2505'!$C$1</definedName>
    <definedName name="USER">'DIN2505'!#REF!</definedName>
  </definedNames>
  <calcPr calcId="145621" iterate="1"/>
  <pivotCaches>
    <pivotCache cacheId="0" r:id="rId14"/>
  </pivotCaches>
</workbook>
</file>

<file path=xl/calcChain.xml><?xml version="1.0" encoding="utf-8"?>
<calcChain xmlns="http://schemas.openxmlformats.org/spreadsheetml/2006/main">
  <c r="AD83" i="11" l="1"/>
  <c r="AD81" i="11"/>
  <c r="AD79" i="11"/>
  <c r="AD77" i="11"/>
  <c r="AD75" i="11"/>
  <c r="AD74" i="11"/>
  <c r="AD72" i="11"/>
  <c r="AD71" i="11"/>
  <c r="AD70" i="11"/>
  <c r="AD68" i="11"/>
  <c r="AD67" i="11"/>
  <c r="AD66" i="11"/>
  <c r="AD64" i="11"/>
  <c r="AD63" i="11"/>
  <c r="AC83" i="11"/>
  <c r="AC82" i="11"/>
  <c r="AC81" i="11"/>
  <c r="AC80" i="11"/>
  <c r="AC70" i="11"/>
  <c r="AC69" i="11"/>
  <c r="AC66" i="11"/>
  <c r="AA70" i="11"/>
  <c r="AA68" i="11"/>
  <c r="AA67" i="11"/>
  <c r="AA66" i="11"/>
  <c r="AA65" i="11"/>
  <c r="AA63" i="11"/>
  <c r="AB83" i="11"/>
  <c r="AB79" i="11"/>
  <c r="AB78" i="11"/>
  <c r="AB77" i="11"/>
  <c r="AB74" i="11"/>
  <c r="AB72" i="11"/>
  <c r="AB70" i="11"/>
  <c r="AB68" i="11"/>
  <c r="AB67" i="11"/>
  <c r="AB66" i="11"/>
  <c r="AB65" i="11"/>
  <c r="AB63" i="11"/>
  <c r="Z28" i="11"/>
  <c r="Z27" i="11"/>
  <c r="Z26" i="11"/>
  <c r="Z25" i="11"/>
  <c r="Z24" i="11"/>
  <c r="Z23" i="11"/>
  <c r="Z22" i="11"/>
  <c r="Z21" i="11"/>
  <c r="Z20" i="11"/>
  <c r="Z19" i="11"/>
  <c r="Z18" i="11"/>
  <c r="Z17" i="11"/>
  <c r="Z16" i="11"/>
  <c r="Z15" i="11"/>
  <c r="Z14" i="11"/>
  <c r="Z13" i="11"/>
  <c r="Z12" i="11"/>
  <c r="Z11" i="11"/>
  <c r="Z10" i="11"/>
  <c r="Z9" i="11"/>
  <c r="Z8" i="11"/>
  <c r="Z83" i="11"/>
  <c r="Z82" i="11"/>
  <c r="Z81" i="11"/>
  <c r="Z80" i="11"/>
  <c r="Z79" i="11"/>
  <c r="Z78" i="11"/>
  <c r="Z77" i="11"/>
  <c r="Z74" i="11"/>
  <c r="Z72" i="11"/>
  <c r="Z70" i="11"/>
  <c r="Z67" i="11"/>
  <c r="Z65" i="11"/>
  <c r="Z64" i="11"/>
  <c r="Z63" i="11"/>
  <c r="AD56" i="11"/>
  <c r="AC56" i="11"/>
  <c r="AB56" i="11"/>
  <c r="AA56" i="11"/>
  <c r="Z56" i="11"/>
  <c r="Y28" i="11"/>
  <c r="Y27" i="11"/>
  <c r="Y26" i="11"/>
  <c r="Y25" i="11"/>
  <c r="Y24" i="11"/>
  <c r="Y23" i="11"/>
  <c r="Y22" i="11"/>
  <c r="Y21" i="11"/>
  <c r="Y20" i="11"/>
  <c r="Y19" i="11"/>
  <c r="Y18" i="11"/>
  <c r="Y17" i="11"/>
  <c r="Y16" i="11"/>
  <c r="Y15" i="11"/>
  <c r="Y14" i="11"/>
  <c r="Y13" i="11"/>
  <c r="Y12" i="11"/>
  <c r="Y11" i="11"/>
  <c r="Y10" i="11"/>
  <c r="Y9" i="11"/>
  <c r="Y56" i="11"/>
  <c r="Y8" i="11" s="1"/>
  <c r="L27" i="10"/>
  <c r="N151" i="10"/>
  <c r="N152" i="10"/>
  <c r="N150" i="10"/>
  <c r="J50" i="11"/>
  <c r="H50" i="11"/>
  <c r="AF50" i="11"/>
  <c r="N148" i="10"/>
  <c r="N149" i="10"/>
  <c r="I110" i="13" l="1"/>
  <c r="E110" i="13"/>
  <c r="P112" i="13"/>
  <c r="H81" i="13"/>
  <c r="E81" i="13"/>
  <c r="H137" i="13"/>
  <c r="H131" i="13"/>
  <c r="F131" i="13"/>
  <c r="I131" i="13"/>
  <c r="G131" i="13"/>
  <c r="E131" i="13"/>
  <c r="E65" i="13"/>
  <c r="E63" i="13"/>
  <c r="E106" i="13"/>
  <c r="E66" i="13"/>
  <c r="G110" i="13" s="1"/>
  <c r="E67" i="13"/>
  <c r="H106" i="13"/>
  <c r="F106" i="13"/>
  <c r="E64" i="13"/>
  <c r="F75" i="13"/>
  <c r="F100" i="13"/>
  <c r="I69" i="13"/>
  <c r="I70" i="13"/>
  <c r="I71" i="13" s="1"/>
  <c r="I100" i="13"/>
  <c r="G70" i="13"/>
  <c r="E100" i="13"/>
  <c r="H99" i="13"/>
  <c r="H98" i="13"/>
  <c r="H97" i="13"/>
  <c r="E86" i="13"/>
  <c r="F85" i="13"/>
  <c r="E87" i="13"/>
  <c r="I81" i="13"/>
  <c r="G75" i="13"/>
  <c r="B59" i="13"/>
  <c r="B179" i="13" s="1"/>
  <c r="G104" i="14"/>
  <c r="I99" i="14"/>
  <c r="G99" i="14"/>
  <c r="G98" i="14"/>
  <c r="G92" i="14"/>
  <c r="I97" i="14"/>
  <c r="G89" i="14"/>
  <c r="E89" i="14"/>
  <c r="I80" i="14"/>
  <c r="G80" i="14"/>
  <c r="G82" i="14" s="1"/>
  <c r="E80" i="14"/>
  <c r="AF14" i="11"/>
  <c r="AF53" i="11"/>
  <c r="AF52" i="11"/>
  <c r="AF51" i="11"/>
  <c r="AF49" i="11"/>
  <c r="AF48" i="11"/>
  <c r="AF47" i="11"/>
  <c r="AF46" i="11"/>
  <c r="AF45" i="11"/>
  <c r="AF44" i="11"/>
  <c r="AF43" i="11"/>
  <c r="AF42" i="11"/>
  <c r="AF41" i="11"/>
  <c r="AF40" i="11"/>
  <c r="AF39" i="11"/>
  <c r="AF38" i="11"/>
  <c r="AF37" i="11"/>
  <c r="AF36" i="11"/>
  <c r="AF35" i="11"/>
  <c r="AF34" i="11"/>
  <c r="AF33" i="11"/>
  <c r="AF31" i="11"/>
  <c r="AF30" i="11"/>
  <c r="AF32" i="11"/>
  <c r="G77" i="14"/>
  <c r="G76" i="14"/>
  <c r="I73" i="14"/>
  <c r="E73" i="14"/>
  <c r="E72" i="14"/>
  <c r="E68" i="14"/>
  <c r="E67" i="14"/>
  <c r="E66" i="14"/>
  <c r="E65" i="14"/>
  <c r="E64" i="14"/>
  <c r="G74" i="14"/>
  <c r="G94" i="14" s="1"/>
  <c r="K31" i="14"/>
  <c r="E63" i="14"/>
  <c r="B59" i="14"/>
  <c r="B117" i="14" s="1"/>
  <c r="A60" i="14"/>
  <c r="C60" i="14"/>
  <c r="H60" i="14"/>
  <c r="A61" i="14"/>
  <c r="C61" i="14"/>
  <c r="H61" i="14"/>
  <c r="B113" i="14"/>
  <c r="G113" i="14"/>
  <c r="B114" i="14"/>
  <c r="G114" i="14"/>
  <c r="B115" i="14"/>
  <c r="G115" i="14"/>
  <c r="B116" i="14"/>
  <c r="G116" i="14"/>
  <c r="G117" i="14"/>
  <c r="A60" i="13"/>
  <c r="C60" i="13"/>
  <c r="H60" i="13"/>
  <c r="A61" i="13"/>
  <c r="C61" i="13"/>
  <c r="H61" i="13"/>
  <c r="B115" i="13"/>
  <c r="G115" i="13"/>
  <c r="B116" i="13"/>
  <c r="G116" i="13"/>
  <c r="B117" i="13"/>
  <c r="G117" i="13"/>
  <c r="B118" i="13"/>
  <c r="G118" i="13"/>
  <c r="J119" i="13"/>
  <c r="A120" i="13"/>
  <c r="C120" i="13"/>
  <c r="H120" i="13"/>
  <c r="A121" i="13"/>
  <c r="C121" i="13"/>
  <c r="H121" i="13"/>
  <c r="B175" i="13"/>
  <c r="G175" i="13"/>
  <c r="B176" i="13"/>
  <c r="G176" i="13"/>
  <c r="B177" i="13"/>
  <c r="G177" i="13"/>
  <c r="B178" i="13"/>
  <c r="G178" i="13"/>
  <c r="G179" i="13"/>
  <c r="J179" i="13"/>
  <c r="I69" i="12"/>
  <c r="H69" i="12"/>
  <c r="G69" i="12"/>
  <c r="F69" i="12"/>
  <c r="E69" i="12"/>
  <c r="I68" i="12"/>
  <c r="F68" i="12"/>
  <c r="E67" i="12"/>
  <c r="E54" i="12"/>
  <c r="F112" i="12" s="1"/>
  <c r="F108" i="12"/>
  <c r="H71" i="12"/>
  <c r="H76" i="12"/>
  <c r="F76" i="12"/>
  <c r="H86" i="12"/>
  <c r="G91" i="12"/>
  <c r="G95" i="12" s="1"/>
  <c r="F91" i="12"/>
  <c r="F95" i="12" s="1"/>
  <c r="E91" i="12"/>
  <c r="E95" i="12" s="1"/>
  <c r="H102" i="12"/>
  <c r="F102" i="12"/>
  <c r="E102" i="12"/>
  <c r="I102" i="12"/>
  <c r="G102" i="12"/>
  <c r="I86" i="12"/>
  <c r="H85" i="12"/>
  <c r="F85" i="12"/>
  <c r="I85" i="12"/>
  <c r="G85" i="12"/>
  <c r="E85" i="12"/>
  <c r="E55" i="12"/>
  <c r="E82" i="12"/>
  <c r="E51" i="12"/>
  <c r="E53" i="12"/>
  <c r="H101" i="12" s="1"/>
  <c r="G72" i="12"/>
  <c r="G90" i="12"/>
  <c r="E52" i="12"/>
  <c r="I71" i="12"/>
  <c r="I72" i="12"/>
  <c r="I76" i="12"/>
  <c r="I89" i="12" s="1"/>
  <c r="G71" i="12"/>
  <c r="G76" i="12"/>
  <c r="E73" i="12"/>
  <c r="H114" i="12"/>
  <c r="F114" i="12"/>
  <c r="E114" i="12"/>
  <c r="E72" i="3"/>
  <c r="K31" i="12"/>
  <c r="G84" i="12"/>
  <c r="E84" i="12"/>
  <c r="B63" i="12"/>
  <c r="B126" i="12" s="1"/>
  <c r="A64" i="12"/>
  <c r="A65" i="12"/>
  <c r="B122" i="12"/>
  <c r="G122" i="12"/>
  <c r="B123" i="12"/>
  <c r="G123" i="12"/>
  <c r="B124" i="12"/>
  <c r="G124" i="12"/>
  <c r="B125" i="12"/>
  <c r="G125" i="12"/>
  <c r="E126" i="12"/>
  <c r="G126" i="12"/>
  <c r="I126" i="12"/>
  <c r="E74" i="10"/>
  <c r="E75" i="10"/>
  <c r="E36" i="10"/>
  <c r="Q107" i="10"/>
  <c r="Q108" i="10"/>
  <c r="Q79" i="10"/>
  <c r="Q109" i="10"/>
  <c r="E107" i="10"/>
  <c r="E108" i="10"/>
  <c r="E79" i="10"/>
  <c r="E109" i="10"/>
  <c r="E35" i="10"/>
  <c r="Q80" i="10"/>
  <c r="Q78" i="10"/>
  <c r="E80" i="10"/>
  <c r="E78" i="10"/>
  <c r="D51" i="7"/>
  <c r="D7" i="11"/>
  <c r="E7" i="11"/>
  <c r="F7" i="11"/>
  <c r="G7" i="11"/>
  <c r="H7" i="11"/>
  <c r="I7" i="11"/>
  <c r="J7" i="11"/>
  <c r="K7" i="11"/>
  <c r="L7" i="11"/>
  <c r="N7" i="11"/>
  <c r="Q7" i="11"/>
  <c r="R7" i="11"/>
  <c r="S7" i="11"/>
  <c r="T7" i="11"/>
  <c r="U7" i="11"/>
  <c r="V7" i="11"/>
  <c r="D8" i="11"/>
  <c r="G8" i="11"/>
  <c r="H8" i="11"/>
  <c r="AQ8" i="11"/>
  <c r="D9" i="11"/>
  <c r="E9" i="11"/>
  <c r="G9" i="11"/>
  <c r="H9" i="11"/>
  <c r="K9" i="11"/>
  <c r="D10" i="11"/>
  <c r="E10" i="11"/>
  <c r="G10" i="11"/>
  <c r="H10" i="11"/>
  <c r="J10" i="11"/>
  <c r="L10" i="11"/>
  <c r="G11" i="11"/>
  <c r="H11" i="11"/>
  <c r="D12" i="11"/>
  <c r="E12" i="11"/>
  <c r="F12" i="11"/>
  <c r="G12" i="11"/>
  <c r="H12" i="11"/>
  <c r="K12" i="11"/>
  <c r="L12" i="11"/>
  <c r="AQ12" i="11"/>
  <c r="E13" i="11"/>
  <c r="G13" i="11"/>
  <c r="H13" i="11"/>
  <c r="K13" i="11"/>
  <c r="AQ13" i="11"/>
  <c r="D14" i="11"/>
  <c r="E14" i="11"/>
  <c r="G14" i="11"/>
  <c r="H14" i="11"/>
  <c r="J14" i="11"/>
  <c r="L14" i="11"/>
  <c r="D15" i="11"/>
  <c r="E15" i="11"/>
  <c r="G15" i="11"/>
  <c r="H15" i="11"/>
  <c r="D16" i="11"/>
  <c r="E16" i="11"/>
  <c r="F16" i="11"/>
  <c r="G16" i="11"/>
  <c r="H16" i="11"/>
  <c r="K16" i="11"/>
  <c r="D17" i="11"/>
  <c r="AF17" i="11" s="1"/>
  <c r="E17" i="11"/>
  <c r="G17" i="11"/>
  <c r="H17" i="11"/>
  <c r="K17" i="11"/>
  <c r="D18" i="11"/>
  <c r="E18" i="11"/>
  <c r="G18" i="11"/>
  <c r="H18" i="11"/>
  <c r="J18" i="11"/>
  <c r="L18" i="11"/>
  <c r="E19" i="11"/>
  <c r="G19" i="11"/>
  <c r="H19" i="11"/>
  <c r="D20" i="11"/>
  <c r="E20" i="11"/>
  <c r="F20" i="11"/>
  <c r="G20" i="11"/>
  <c r="H20" i="11"/>
  <c r="K20" i="11"/>
  <c r="L20" i="11"/>
  <c r="D21" i="11"/>
  <c r="E21" i="11"/>
  <c r="G21" i="11"/>
  <c r="H21" i="11"/>
  <c r="K21" i="11"/>
  <c r="D22" i="11"/>
  <c r="E22" i="11"/>
  <c r="G22" i="11"/>
  <c r="H22" i="11"/>
  <c r="J22" i="11"/>
  <c r="L22" i="11"/>
  <c r="D23" i="11"/>
  <c r="E23" i="11"/>
  <c r="G23" i="11"/>
  <c r="H23" i="11"/>
  <c r="D24" i="11"/>
  <c r="AF24" i="11" s="1"/>
  <c r="E24" i="11"/>
  <c r="F24" i="11"/>
  <c r="G24" i="11"/>
  <c r="H24" i="11"/>
  <c r="K24" i="11"/>
  <c r="D25" i="11"/>
  <c r="AF25" i="11" s="1"/>
  <c r="E25" i="11"/>
  <c r="G25" i="11"/>
  <c r="H25" i="11"/>
  <c r="I25" i="11"/>
  <c r="K25" i="11"/>
  <c r="D26" i="11"/>
  <c r="E26" i="11"/>
  <c r="G26" i="11"/>
  <c r="H26" i="11"/>
  <c r="L26" i="11"/>
  <c r="D27" i="11"/>
  <c r="E27" i="11"/>
  <c r="G27" i="11"/>
  <c r="H27" i="11"/>
  <c r="D28" i="11"/>
  <c r="E28" i="11"/>
  <c r="F28" i="11"/>
  <c r="G28" i="11"/>
  <c r="H28" i="11"/>
  <c r="K28" i="11"/>
  <c r="L28" i="11"/>
  <c r="H30" i="11"/>
  <c r="J30" i="11"/>
  <c r="K30" i="11"/>
  <c r="H31" i="11"/>
  <c r="J31" i="11"/>
  <c r="K31" i="11"/>
  <c r="H32" i="11"/>
  <c r="J32" i="11"/>
  <c r="K32" i="11"/>
  <c r="H33" i="11"/>
  <c r="J33" i="11"/>
  <c r="K33" i="11"/>
  <c r="H34" i="11"/>
  <c r="J34" i="11"/>
  <c r="K34" i="11"/>
  <c r="H35" i="11"/>
  <c r="J35" i="11"/>
  <c r="K35" i="11"/>
  <c r="H36" i="11"/>
  <c r="J36" i="11"/>
  <c r="K36" i="11"/>
  <c r="H37" i="11"/>
  <c r="J37" i="11"/>
  <c r="K37" i="11"/>
  <c r="H38" i="11"/>
  <c r="J38" i="11"/>
  <c r="K38" i="11"/>
  <c r="H39" i="11"/>
  <c r="J39" i="11"/>
  <c r="K39" i="11"/>
  <c r="H40" i="11"/>
  <c r="J40" i="11"/>
  <c r="K40" i="11"/>
  <c r="H41" i="11"/>
  <c r="J41" i="11"/>
  <c r="K41" i="11"/>
  <c r="H42" i="11"/>
  <c r="J42" i="11"/>
  <c r="K42" i="11"/>
  <c r="H43" i="11"/>
  <c r="J43" i="11"/>
  <c r="K43" i="11"/>
  <c r="H44" i="11"/>
  <c r="J44" i="11"/>
  <c r="K44" i="11"/>
  <c r="H45" i="11"/>
  <c r="J45" i="11"/>
  <c r="K45" i="11"/>
  <c r="H46" i="11"/>
  <c r="J46" i="11"/>
  <c r="K46" i="11"/>
  <c r="H47" i="11"/>
  <c r="J47" i="11"/>
  <c r="K47" i="11"/>
  <c r="H48" i="11"/>
  <c r="J48" i="11"/>
  <c r="K48" i="11"/>
  <c r="H49" i="11"/>
  <c r="J49" i="11"/>
  <c r="K49" i="11"/>
  <c r="J51" i="11"/>
  <c r="K51" i="11"/>
  <c r="D56" i="11"/>
  <c r="E56" i="11"/>
  <c r="E8" i="11" s="1"/>
  <c r="F56" i="11"/>
  <c r="F13" i="11" s="1"/>
  <c r="I56" i="11"/>
  <c r="I8" i="11" s="1"/>
  <c r="AF8" i="11" s="1"/>
  <c r="AR8" i="11" s="1"/>
  <c r="J56" i="11"/>
  <c r="K56" i="11"/>
  <c r="K8" i="11" s="1"/>
  <c r="L56" i="11"/>
  <c r="L21" i="11" s="1"/>
  <c r="N56" i="11"/>
  <c r="Q56" i="11"/>
  <c r="Q65" i="11" s="1"/>
  <c r="R56" i="11"/>
  <c r="R65" i="11" s="1"/>
  <c r="S56" i="11"/>
  <c r="T56" i="11"/>
  <c r="T67" i="11" s="1"/>
  <c r="U56" i="11"/>
  <c r="V56" i="11"/>
  <c r="L59" i="11"/>
  <c r="N59" i="11"/>
  <c r="P59" i="11"/>
  <c r="R59" i="11"/>
  <c r="S59" i="11"/>
  <c r="T59" i="11"/>
  <c r="U59" i="11"/>
  <c r="V59" i="11"/>
  <c r="A60" i="11"/>
  <c r="B60" i="11"/>
  <c r="D60" i="11"/>
  <c r="E60" i="11"/>
  <c r="F60" i="11"/>
  <c r="G60" i="11"/>
  <c r="H60" i="11"/>
  <c r="I60" i="11"/>
  <c r="J60" i="11"/>
  <c r="K60" i="11"/>
  <c r="L60" i="11"/>
  <c r="N60" i="11"/>
  <c r="O60" i="11"/>
  <c r="P60" i="11"/>
  <c r="Q60" i="11"/>
  <c r="R60" i="11"/>
  <c r="S60" i="11"/>
  <c r="T60" i="11"/>
  <c r="U60" i="11"/>
  <c r="V60" i="11"/>
  <c r="A61" i="11"/>
  <c r="D61" i="11"/>
  <c r="E61" i="11"/>
  <c r="F61" i="11"/>
  <c r="G61" i="11"/>
  <c r="H61" i="11"/>
  <c r="I61" i="11"/>
  <c r="J61" i="11"/>
  <c r="K61" i="11"/>
  <c r="L61" i="11"/>
  <c r="N61" i="11"/>
  <c r="Q61" i="11"/>
  <c r="R61" i="11"/>
  <c r="S61" i="11"/>
  <c r="T61" i="11"/>
  <c r="U61" i="11"/>
  <c r="V61" i="11"/>
  <c r="D62" i="11"/>
  <c r="E62" i="11"/>
  <c r="F62" i="11"/>
  <c r="G62" i="11"/>
  <c r="H62" i="11"/>
  <c r="I62" i="11"/>
  <c r="J62" i="11"/>
  <c r="K62" i="11"/>
  <c r="L62" i="11"/>
  <c r="N62" i="11"/>
  <c r="Q62" i="11"/>
  <c r="R62" i="11"/>
  <c r="S62" i="11"/>
  <c r="T62" i="11"/>
  <c r="U62" i="11"/>
  <c r="V62" i="11"/>
  <c r="A63" i="11"/>
  <c r="B63" i="11"/>
  <c r="C63" i="11"/>
  <c r="I63" i="11"/>
  <c r="L63" i="11"/>
  <c r="L8" i="11" s="1"/>
  <c r="N63" i="11"/>
  <c r="A64" i="11"/>
  <c r="B64" i="11"/>
  <c r="C64" i="11"/>
  <c r="D64" i="11"/>
  <c r="I64" i="11"/>
  <c r="L64" i="11"/>
  <c r="L9" i="11" s="1"/>
  <c r="N64" i="11"/>
  <c r="A65" i="11"/>
  <c r="B65" i="11"/>
  <c r="C65" i="11"/>
  <c r="D65" i="11"/>
  <c r="I65" i="11"/>
  <c r="I10" i="11" s="1"/>
  <c r="N65" i="11"/>
  <c r="O65" i="11"/>
  <c r="P65" i="11"/>
  <c r="T65" i="11"/>
  <c r="U65" i="11"/>
  <c r="V65" i="11"/>
  <c r="A66" i="11"/>
  <c r="B66" i="11"/>
  <c r="C66" i="11"/>
  <c r="D66" i="11"/>
  <c r="D11" i="11" s="1"/>
  <c r="I66" i="11"/>
  <c r="I11" i="11" s="1"/>
  <c r="L66" i="11"/>
  <c r="L11" i="11" s="1"/>
  <c r="N66" i="11"/>
  <c r="O66" i="11"/>
  <c r="P66" i="11"/>
  <c r="Q66" i="11"/>
  <c r="R66" i="11"/>
  <c r="S66" i="11"/>
  <c r="T66" i="11"/>
  <c r="U66" i="11"/>
  <c r="V66" i="11"/>
  <c r="A67" i="11"/>
  <c r="B67" i="11"/>
  <c r="C67" i="11"/>
  <c r="I67" i="11"/>
  <c r="I12" i="11" s="1"/>
  <c r="L67" i="11"/>
  <c r="N67" i="11"/>
  <c r="O67" i="11"/>
  <c r="P67" i="11"/>
  <c r="Q67" i="11"/>
  <c r="U67" i="11"/>
  <c r="V67" i="11"/>
  <c r="A68" i="11"/>
  <c r="B68" i="11"/>
  <c r="C68" i="11"/>
  <c r="D68" i="11"/>
  <c r="D13" i="11" s="1"/>
  <c r="AF13" i="11" s="1"/>
  <c r="AR13" i="11" s="1"/>
  <c r="I68" i="11"/>
  <c r="I13" i="11" s="1"/>
  <c r="L68" i="11"/>
  <c r="L13" i="11" s="1"/>
  <c r="N68" i="11"/>
  <c r="O68" i="11"/>
  <c r="P68" i="11"/>
  <c r="R68" i="11"/>
  <c r="T68" i="11"/>
  <c r="U68" i="11"/>
  <c r="V68" i="11"/>
  <c r="A69" i="11"/>
  <c r="B69" i="11"/>
  <c r="C69" i="11"/>
  <c r="I69" i="11"/>
  <c r="I14" i="11" s="1"/>
  <c r="N69" i="11"/>
  <c r="O69" i="11"/>
  <c r="P69" i="11"/>
  <c r="Q69" i="11"/>
  <c r="R69" i="11"/>
  <c r="T69" i="11"/>
  <c r="U69" i="11"/>
  <c r="V69" i="11"/>
  <c r="A70" i="11"/>
  <c r="B70" i="11"/>
  <c r="C70" i="11"/>
  <c r="I70" i="11"/>
  <c r="I15" i="11" s="1"/>
  <c r="L70" i="11"/>
  <c r="L15" i="11" s="1"/>
  <c r="N70" i="11"/>
  <c r="O70" i="11"/>
  <c r="P70" i="11"/>
  <c r="Q70" i="11"/>
  <c r="U70" i="11"/>
  <c r="V70" i="11"/>
  <c r="A71" i="11"/>
  <c r="B71" i="11"/>
  <c r="C71" i="11"/>
  <c r="I71" i="11"/>
  <c r="L71" i="11"/>
  <c r="L16" i="11" s="1"/>
  <c r="N71" i="11"/>
  <c r="O71" i="11"/>
  <c r="P71" i="11"/>
  <c r="T71" i="11"/>
  <c r="U71" i="11"/>
  <c r="V71" i="11"/>
  <c r="A72" i="11"/>
  <c r="B72" i="11"/>
  <c r="C72" i="11"/>
  <c r="D72" i="11"/>
  <c r="I72" i="11"/>
  <c r="I17" i="11" s="1"/>
  <c r="L72" i="11"/>
  <c r="L17" i="11" s="1"/>
  <c r="N72" i="11"/>
  <c r="O72" i="11"/>
  <c r="P72" i="11"/>
  <c r="Q72" i="11"/>
  <c r="R72" i="11"/>
  <c r="T72" i="11"/>
  <c r="U72" i="11"/>
  <c r="V72" i="11"/>
  <c r="A73" i="11"/>
  <c r="B73" i="11"/>
  <c r="C73" i="11"/>
  <c r="I73" i="11"/>
  <c r="N73" i="11"/>
  <c r="O73" i="11"/>
  <c r="P73" i="11"/>
  <c r="Q73" i="11"/>
  <c r="U73" i="11"/>
  <c r="V73" i="11"/>
  <c r="A74" i="11"/>
  <c r="B74" i="11"/>
  <c r="C74" i="11"/>
  <c r="D74" i="11"/>
  <c r="D19" i="11" s="1"/>
  <c r="AF19" i="11" s="1"/>
  <c r="I74" i="11"/>
  <c r="I19" i="11" s="1"/>
  <c r="L74" i="11"/>
  <c r="L19" i="11" s="1"/>
  <c r="N74" i="11"/>
  <c r="O74" i="11"/>
  <c r="P74" i="11"/>
  <c r="R74" i="11"/>
  <c r="T74" i="11"/>
  <c r="U74" i="11"/>
  <c r="V74" i="11"/>
  <c r="A75" i="11"/>
  <c r="B75" i="11"/>
  <c r="C75" i="11"/>
  <c r="I75" i="11"/>
  <c r="I20" i="11" s="1"/>
  <c r="N75" i="11"/>
  <c r="O75" i="11"/>
  <c r="P75" i="11"/>
  <c r="Q75" i="11"/>
  <c r="R75" i="11"/>
  <c r="T75" i="11"/>
  <c r="U75" i="11"/>
  <c r="V75" i="11"/>
  <c r="A76" i="11"/>
  <c r="B76" i="11"/>
  <c r="C76" i="11"/>
  <c r="I76" i="11"/>
  <c r="N76" i="11"/>
  <c r="O76" i="11"/>
  <c r="P76" i="11"/>
  <c r="Q76" i="11"/>
  <c r="R76" i="11"/>
  <c r="T76" i="11"/>
  <c r="U76" i="11"/>
  <c r="V76" i="11"/>
  <c r="A77" i="11"/>
  <c r="B77" i="11"/>
  <c r="C77" i="11"/>
  <c r="I77" i="11"/>
  <c r="L77" i="11"/>
  <c r="N77" i="11"/>
  <c r="O77" i="11"/>
  <c r="P77" i="11"/>
  <c r="T77" i="11"/>
  <c r="U77" i="11"/>
  <c r="V77" i="11"/>
  <c r="A78" i="11"/>
  <c r="B78" i="11"/>
  <c r="C78" i="11"/>
  <c r="I78" i="11"/>
  <c r="I23" i="11" s="1"/>
  <c r="N78" i="11"/>
  <c r="O78" i="11"/>
  <c r="P78" i="11"/>
  <c r="S78" i="11"/>
  <c r="T78" i="11"/>
  <c r="U78" i="11"/>
  <c r="V78" i="11"/>
  <c r="A79" i="11"/>
  <c r="B79" i="11"/>
  <c r="C79" i="11"/>
  <c r="I79" i="11"/>
  <c r="I24" i="11" s="1"/>
  <c r="L79" i="11"/>
  <c r="L24" i="11" s="1"/>
  <c r="N79" i="11"/>
  <c r="O79" i="11"/>
  <c r="P79" i="11"/>
  <c r="Q79" i="11"/>
  <c r="R79" i="11"/>
  <c r="T79" i="11"/>
  <c r="U79" i="11"/>
  <c r="V79" i="11"/>
  <c r="A80" i="11"/>
  <c r="B80" i="11"/>
  <c r="C80" i="11"/>
  <c r="I80" i="11"/>
  <c r="N80" i="11"/>
  <c r="O80" i="11"/>
  <c r="P80" i="11"/>
  <c r="Q80" i="11"/>
  <c r="R80" i="11"/>
  <c r="T80" i="11"/>
  <c r="U80" i="11"/>
  <c r="V80" i="11"/>
  <c r="A81" i="11"/>
  <c r="B81" i="11"/>
  <c r="C81" i="11"/>
  <c r="I81" i="11"/>
  <c r="N81" i="11"/>
  <c r="O81" i="11"/>
  <c r="P81" i="11"/>
  <c r="Q81" i="11"/>
  <c r="T81" i="11"/>
  <c r="U81" i="11"/>
  <c r="V81" i="11"/>
  <c r="A82" i="11"/>
  <c r="B82" i="11"/>
  <c r="C82" i="11"/>
  <c r="I82" i="11"/>
  <c r="I27" i="11" s="1"/>
  <c r="N82" i="11"/>
  <c r="O82" i="11"/>
  <c r="P82" i="11"/>
  <c r="T82" i="11"/>
  <c r="U82" i="11"/>
  <c r="V82" i="11"/>
  <c r="A83" i="11"/>
  <c r="B83" i="11"/>
  <c r="C83" i="11"/>
  <c r="I83" i="11"/>
  <c r="I28" i="11" s="1"/>
  <c r="N83" i="11"/>
  <c r="O83" i="11"/>
  <c r="P83" i="11"/>
  <c r="S83" i="11"/>
  <c r="T83" i="11"/>
  <c r="U83" i="11"/>
  <c r="V83" i="11"/>
  <c r="E82" i="10"/>
  <c r="E81" i="10"/>
  <c r="E76" i="10"/>
  <c r="E77" i="10" s="1"/>
  <c r="E84" i="10" s="1"/>
  <c r="B175" i="10"/>
  <c r="B117" i="10"/>
  <c r="E67" i="10"/>
  <c r="E66" i="10"/>
  <c r="E69" i="10"/>
  <c r="E70" i="10" s="1"/>
  <c r="B59" i="10"/>
  <c r="E68" i="10"/>
  <c r="E65" i="10"/>
  <c r="E145" i="10" s="1"/>
  <c r="E146" i="10" s="1"/>
  <c r="E64" i="10"/>
  <c r="E136" i="10" s="1"/>
  <c r="E137" i="10" s="1"/>
  <c r="E63" i="10"/>
  <c r="D39" i="7"/>
  <c r="D24" i="7"/>
  <c r="A60" i="10"/>
  <c r="C60" i="10"/>
  <c r="H60" i="10"/>
  <c r="A61" i="10"/>
  <c r="C61" i="10"/>
  <c r="H61" i="10"/>
  <c r="B113" i="10"/>
  <c r="G113" i="10"/>
  <c r="B114" i="10"/>
  <c r="G114" i="10"/>
  <c r="B115" i="10"/>
  <c r="G115" i="10"/>
  <c r="B116" i="10"/>
  <c r="G116" i="10"/>
  <c r="H116" i="10"/>
  <c r="I117" i="10"/>
  <c r="A118" i="10"/>
  <c r="C118" i="10"/>
  <c r="H118" i="10"/>
  <c r="A119" i="10"/>
  <c r="C119" i="10"/>
  <c r="H119" i="10"/>
  <c r="B171" i="10"/>
  <c r="G171" i="10"/>
  <c r="B172" i="10"/>
  <c r="G172" i="10"/>
  <c r="B173" i="10"/>
  <c r="G173" i="10"/>
  <c r="B174" i="10"/>
  <c r="G174" i="10"/>
  <c r="H174" i="10"/>
  <c r="G175" i="10"/>
  <c r="I175" i="10"/>
  <c r="D45" i="7"/>
  <c r="D46" i="7" s="1"/>
  <c r="D43" i="7"/>
  <c r="E61" i="7"/>
  <c r="D48" i="7"/>
  <c r="D50" i="7"/>
  <c r="D77" i="7" s="1"/>
  <c r="K70" i="7" s="1"/>
  <c r="D63" i="7"/>
  <c r="E63" i="7" s="1"/>
  <c r="D42" i="7"/>
  <c r="D41" i="7"/>
  <c r="D61" i="7"/>
  <c r="E85" i="7"/>
  <c r="D85" i="7" s="1"/>
  <c r="D49" i="7"/>
  <c r="D72" i="7"/>
  <c r="D78" i="7" s="1"/>
  <c r="K71" i="7" s="1"/>
  <c r="D71" i="7"/>
  <c r="D73" i="7" s="1"/>
  <c r="D74" i="7"/>
  <c r="D113" i="7"/>
  <c r="G41" i="7"/>
  <c r="G39" i="7"/>
  <c r="D59" i="9"/>
  <c r="D50" i="9"/>
  <c r="D43" i="9"/>
  <c r="D44" i="9" s="1"/>
  <c r="D25" i="9"/>
  <c r="D26" i="9"/>
  <c r="D57" i="9"/>
  <c r="D69" i="9"/>
  <c r="D28" i="3"/>
  <c r="D31" i="3"/>
  <c r="D48" i="3" s="1"/>
  <c r="D51" i="3" s="1"/>
  <c r="D54" i="3" s="1"/>
  <c r="D61" i="3" s="1"/>
  <c r="D30" i="3"/>
  <c r="D49" i="3" s="1"/>
  <c r="F37" i="3"/>
  <c r="F72" i="3" s="1"/>
  <c r="F38" i="3"/>
  <c r="F39" i="3"/>
  <c r="E37" i="3"/>
  <c r="E38" i="3"/>
  <c r="E39" i="3"/>
  <c r="D46" i="3"/>
  <c r="D45" i="3"/>
  <c r="D44" i="3"/>
  <c r="D62" i="3"/>
  <c r="D57" i="3"/>
  <c r="D75" i="7"/>
  <c r="D40" i="7"/>
  <c r="J50" i="2"/>
  <c r="J49" i="2"/>
  <c r="J48" i="2"/>
  <c r="J47" i="2"/>
  <c r="J46" i="2"/>
  <c r="J45" i="2"/>
  <c r="E84" i="7"/>
  <c r="E83" i="7"/>
  <c r="D24" i="8"/>
  <c r="D25" i="8"/>
  <c r="D72" i="8"/>
  <c r="K66" i="8" s="1"/>
  <c r="D67" i="8"/>
  <c r="D73" i="8"/>
  <c r="K67" i="8" s="1"/>
  <c r="D55" i="8"/>
  <c r="D44" i="8"/>
  <c r="D57" i="8" s="1"/>
  <c r="D41" i="8"/>
  <c r="D66" i="8"/>
  <c r="D69" i="8" s="1"/>
  <c r="D53" i="8"/>
  <c r="E61" i="1"/>
  <c r="E60" i="1"/>
  <c r="E59" i="1"/>
  <c r="E58" i="1"/>
  <c r="D25" i="7" s="1"/>
  <c r="E57" i="1"/>
  <c r="G55" i="1"/>
  <c r="G54" i="1"/>
  <c r="G53" i="1"/>
  <c r="G52" i="1"/>
  <c r="G51" i="1"/>
  <c r="G50" i="1"/>
  <c r="G49" i="1"/>
  <c r="G48" i="1"/>
  <c r="G47" i="1"/>
  <c r="G46" i="1"/>
  <c r="G45" i="1"/>
  <c r="G44" i="1"/>
  <c r="G43" i="1"/>
  <c r="G42" i="1"/>
  <c r="G41" i="1"/>
  <c r="G40" i="1"/>
  <c r="G39" i="1"/>
  <c r="G38" i="1"/>
  <c r="G37" i="1"/>
  <c r="G36" i="1"/>
  <c r="G35" i="1"/>
  <c r="G34" i="1"/>
  <c r="G33" i="1"/>
  <c r="G32" i="1"/>
  <c r="G31" i="1"/>
  <c r="G30" i="1"/>
  <c r="G29" i="1"/>
  <c r="G28" i="1"/>
  <c r="G27" i="1"/>
  <c r="G26" i="1"/>
  <c r="G25" i="1"/>
  <c r="G24" i="1"/>
  <c r="G23" i="1"/>
  <c r="G22" i="1"/>
  <c r="G21" i="1"/>
  <c r="G20" i="1"/>
  <c r="G19" i="1"/>
  <c r="G18" i="1"/>
  <c r="G17" i="1"/>
  <c r="G16" i="1"/>
  <c r="G15" i="1"/>
  <c r="G14" i="1"/>
  <c r="G13" i="1"/>
  <c r="G12" i="1"/>
  <c r="G11" i="1"/>
  <c r="G10" i="1"/>
  <c r="G9" i="1"/>
  <c r="G8" i="1"/>
  <c r="E89" i="7"/>
  <c r="E88" i="7"/>
  <c r="F42" i="3"/>
  <c r="E42" i="3"/>
  <c r="D42" i="3"/>
  <c r="E41" i="3"/>
  <c r="D29" i="3"/>
  <c r="Q105" i="10" l="1"/>
  <c r="N101" i="10" s="1"/>
  <c r="E105" i="10"/>
  <c r="L101" i="10" s="1"/>
  <c r="E94" i="10"/>
  <c r="E111" i="10"/>
  <c r="B119" i="13"/>
  <c r="K75" i="8"/>
  <c r="K77" i="8"/>
  <c r="K68" i="8"/>
  <c r="K73" i="8"/>
  <c r="K80" i="8"/>
  <c r="K70" i="8"/>
  <c r="K76" i="8"/>
  <c r="K82" i="8"/>
  <c r="K69" i="8"/>
  <c r="K72" i="8"/>
  <c r="K74" i="8"/>
  <c r="K79" i="8"/>
  <c r="K71" i="8"/>
  <c r="K78" i="8"/>
  <c r="K81" i="8"/>
  <c r="D141" i="7"/>
  <c r="K95" i="7"/>
  <c r="K96" i="7"/>
  <c r="N82" i="7"/>
  <c r="N81" i="7"/>
  <c r="K83" i="7"/>
  <c r="K78" i="7"/>
  <c r="K80" i="7"/>
  <c r="N78" i="7"/>
  <c r="K76" i="7"/>
  <c r="N77" i="8"/>
  <c r="K90" i="8"/>
  <c r="N76" i="8"/>
  <c r="N73" i="8"/>
  <c r="K91" i="8"/>
  <c r="D50" i="3"/>
  <c r="D53" i="3" s="1"/>
  <c r="D42" i="8"/>
  <c r="D43" i="8" s="1"/>
  <c r="D48" i="9"/>
  <c r="E32" i="14"/>
  <c r="E32" i="12"/>
  <c r="E79" i="12" s="1"/>
  <c r="E34" i="13"/>
  <c r="E33" i="12"/>
  <c r="E27" i="10"/>
  <c r="Q96" i="10"/>
  <c r="Q94" i="10"/>
  <c r="Q91" i="10"/>
  <c r="Q111" i="10"/>
  <c r="Q101" i="10"/>
  <c r="Q100" i="10"/>
  <c r="I100" i="14"/>
  <c r="G100" i="14"/>
  <c r="G87" i="14"/>
  <c r="E87" i="14"/>
  <c r="I87" i="14"/>
  <c r="E100" i="14"/>
  <c r="K84" i="7"/>
  <c r="K73" i="7"/>
  <c r="K82" i="7"/>
  <c r="K74" i="7"/>
  <c r="K79" i="7"/>
  <c r="K81" i="7"/>
  <c r="K87" i="7"/>
  <c r="K86" i="7"/>
  <c r="AF11" i="11"/>
  <c r="D47" i="7"/>
  <c r="E56" i="7" s="1"/>
  <c r="N82" i="14"/>
  <c r="F41" i="3"/>
  <c r="D46" i="9"/>
  <c r="E127" i="10"/>
  <c r="E128" i="10" s="1"/>
  <c r="E72" i="10"/>
  <c r="D68" i="8"/>
  <c r="D70" i="8"/>
  <c r="D39" i="3"/>
  <c r="K77" i="7"/>
  <c r="K75" i="7"/>
  <c r="S67" i="11"/>
  <c r="S70" i="11"/>
  <c r="S73" i="11"/>
  <c r="S81" i="11"/>
  <c r="S65" i="11"/>
  <c r="S77" i="11"/>
  <c r="S82" i="11"/>
  <c r="S71" i="11"/>
  <c r="S68" i="11"/>
  <c r="S74" i="11"/>
  <c r="S72" i="11"/>
  <c r="S76" i="11"/>
  <c r="S80" i="11"/>
  <c r="J11" i="11"/>
  <c r="J15" i="11"/>
  <c r="J19" i="11"/>
  <c r="J23" i="11"/>
  <c r="J27" i="11"/>
  <c r="J8" i="11"/>
  <c r="J13" i="11"/>
  <c r="J16" i="11"/>
  <c r="J20" i="11"/>
  <c r="J24" i="11"/>
  <c r="J28" i="11"/>
  <c r="J9" i="11"/>
  <c r="J12" i="11"/>
  <c r="J17" i="11"/>
  <c r="J21" i="11"/>
  <c r="J25" i="11"/>
  <c r="AF10" i="11"/>
  <c r="E30" i="12"/>
  <c r="E77" i="12" s="1"/>
  <c r="E78" i="12" s="1"/>
  <c r="E30" i="14"/>
  <c r="E33" i="13"/>
  <c r="E26" i="10"/>
  <c r="Q99" i="10" s="1"/>
  <c r="D34" i="7"/>
  <c r="D70" i="7" s="1"/>
  <c r="D71" i="8"/>
  <c r="D45" i="9"/>
  <c r="K85" i="7"/>
  <c r="S79" i="11"/>
  <c r="S75" i="11"/>
  <c r="S69" i="11"/>
  <c r="J26" i="11"/>
  <c r="G89" i="12"/>
  <c r="I102" i="13"/>
  <c r="Q82" i="11"/>
  <c r="R81" i="11"/>
  <c r="Q77" i="11"/>
  <c r="R73" i="11"/>
  <c r="R70" i="11"/>
  <c r="R67" i="11"/>
  <c r="K26" i="11"/>
  <c r="K22" i="11"/>
  <c r="K18" i="11"/>
  <c r="K14" i="11"/>
  <c r="K10" i="11"/>
  <c r="D35" i="7" s="1"/>
  <c r="D59" i="7" s="1"/>
  <c r="E100" i="10"/>
  <c r="I91" i="12"/>
  <c r="I95" i="12" s="1"/>
  <c r="E94" i="12"/>
  <c r="H91" i="12"/>
  <c r="H95" i="12" s="1"/>
  <c r="G88" i="12"/>
  <c r="I114" i="12" s="1"/>
  <c r="H99" i="12"/>
  <c r="G86" i="12"/>
  <c r="E68" i="12"/>
  <c r="I91" i="14"/>
  <c r="G88" i="14"/>
  <c r="G95" i="14" s="1"/>
  <c r="G85" i="14"/>
  <c r="G86" i="14" s="1"/>
  <c r="E71" i="14"/>
  <c r="E70" i="14" s="1"/>
  <c r="E91" i="14"/>
  <c r="E88" i="14"/>
  <c r="E85" i="14"/>
  <c r="E86" i="14" s="1"/>
  <c r="I85" i="14"/>
  <c r="I89" i="14"/>
  <c r="I72" i="14"/>
  <c r="I88" i="14"/>
  <c r="I72" i="13"/>
  <c r="I73" i="13" s="1"/>
  <c r="I80" i="13" s="1"/>
  <c r="I82" i="13" s="1"/>
  <c r="I83" i="13" s="1"/>
  <c r="E72" i="13"/>
  <c r="H78" i="13"/>
  <c r="I97" i="13"/>
  <c r="E78" i="13"/>
  <c r="H72" i="13"/>
  <c r="F97" i="13"/>
  <c r="E88" i="13"/>
  <c r="G97" i="13"/>
  <c r="Q84" i="10"/>
  <c r="E85" i="10"/>
  <c r="E87" i="10" s="1"/>
  <c r="E93" i="10" s="1"/>
  <c r="Q95" i="10"/>
  <c r="E103" i="12"/>
  <c r="G103" i="12"/>
  <c r="E92" i="12"/>
  <c r="I103" i="12"/>
  <c r="H103" i="12"/>
  <c r="I87" i="12"/>
  <c r="I92" i="13"/>
  <c r="F9" i="11"/>
  <c r="F8" i="11"/>
  <c r="F15" i="11"/>
  <c r="F17" i="11"/>
  <c r="F19" i="11"/>
  <c r="F21" i="11"/>
  <c r="F23" i="11"/>
  <c r="F25" i="11"/>
  <c r="F27" i="11"/>
  <c r="AF28" i="11"/>
  <c r="I21" i="11"/>
  <c r="AF21" i="11" s="1"/>
  <c r="AF20" i="11"/>
  <c r="AF12" i="11"/>
  <c r="AR12" i="11" s="1"/>
  <c r="F11" i="11"/>
  <c r="E86" i="10"/>
  <c r="Q86" i="10"/>
  <c r="E93" i="12"/>
  <c r="F101" i="12"/>
  <c r="F137" i="13"/>
  <c r="E69" i="13"/>
  <c r="E107" i="13"/>
  <c r="H69" i="13"/>
  <c r="I98" i="13"/>
  <c r="E99" i="13"/>
  <c r="I137" i="13"/>
  <c r="I107" i="13"/>
  <c r="H108" i="13" s="1"/>
  <c r="H70" i="13"/>
  <c r="G100" i="13"/>
  <c r="E98" i="13"/>
  <c r="G137" i="13"/>
  <c r="E137" i="13"/>
  <c r="I99" i="13"/>
  <c r="G107" i="13"/>
  <c r="I106" i="13"/>
  <c r="E70" i="13"/>
  <c r="H100" i="13"/>
  <c r="D70" i="3"/>
  <c r="R83" i="11"/>
  <c r="R78" i="11"/>
  <c r="Q74" i="11"/>
  <c r="T73" i="11"/>
  <c r="R71" i="11"/>
  <c r="I16" i="11"/>
  <c r="AF16" i="11" s="1"/>
  <c r="T70" i="11"/>
  <c r="Q68" i="11"/>
  <c r="I9" i="11"/>
  <c r="AF9" i="11" s="1"/>
  <c r="K27" i="11"/>
  <c r="AF27" i="11"/>
  <c r="F26" i="11"/>
  <c r="K23" i="11"/>
  <c r="AF23" i="11"/>
  <c r="F22" i="11"/>
  <c r="K19" i="11"/>
  <c r="F18" i="11"/>
  <c r="K15" i="11"/>
  <c r="AF15" i="11"/>
  <c r="F14" i="11"/>
  <c r="E11" i="11"/>
  <c r="E95" i="10"/>
  <c r="E101" i="12"/>
  <c r="F103" i="12"/>
  <c r="H66" i="12"/>
  <c r="H68" i="12" s="1"/>
  <c r="H87" i="12" s="1"/>
  <c r="I71" i="14"/>
  <c r="I86" i="14"/>
  <c r="E97" i="14"/>
  <c r="I78" i="13"/>
  <c r="E97" i="13"/>
  <c r="F70" i="13"/>
  <c r="G106" i="13"/>
  <c r="P107" i="13"/>
  <c r="P113" i="13" s="1"/>
  <c r="Q83" i="11"/>
  <c r="R82" i="11"/>
  <c r="I26" i="11"/>
  <c r="AF26" i="11" s="1"/>
  <c r="Q78" i="11"/>
  <c r="R77" i="11"/>
  <c r="I22" i="11"/>
  <c r="AF22" i="11" s="1"/>
  <c r="I18" i="11"/>
  <c r="AF18" i="11" s="1"/>
  <c r="Q71" i="11"/>
  <c r="K11" i="11"/>
  <c r="F10" i="11"/>
  <c r="E91" i="10"/>
  <c r="E96" i="10"/>
  <c r="E101" i="10"/>
  <c r="E106" i="10" s="1"/>
  <c r="L102" i="10" s="1"/>
  <c r="Q85" i="10"/>
  <c r="G92" i="13"/>
  <c r="G71" i="13"/>
  <c r="L27" i="11"/>
  <c r="L25" i="11"/>
  <c r="L23" i="11"/>
  <c r="G67" i="12"/>
  <c r="F72" i="12"/>
  <c r="H72" i="12"/>
  <c r="E86" i="12"/>
  <c r="G99" i="12" s="1"/>
  <c r="I84" i="12"/>
  <c r="G68" i="12"/>
  <c r="G87" i="12" s="1"/>
  <c r="F67" i="12"/>
  <c r="F71" i="12"/>
  <c r="G101" i="12"/>
  <c r="I101" i="12"/>
  <c r="H67" i="12"/>
  <c r="G112" i="13"/>
  <c r="F90" i="12"/>
  <c r="E118" i="12"/>
  <c r="H118" i="12" s="1"/>
  <c r="I67" i="12"/>
  <c r="E99" i="14"/>
  <c r="E112" i="13"/>
  <c r="G108" i="13"/>
  <c r="E109" i="13"/>
  <c r="E108" i="13"/>
  <c r="I109" i="13"/>
  <c r="F108" i="13"/>
  <c r="G109" i="13" s="1"/>
  <c r="H115" i="12" l="1"/>
  <c r="I115" i="12"/>
  <c r="G115" i="12"/>
  <c r="E99" i="10"/>
  <c r="G107" i="14"/>
  <c r="E107" i="14"/>
  <c r="I107" i="14"/>
  <c r="I94" i="13"/>
  <c r="I103" i="13"/>
  <c r="E81" i="14"/>
  <c r="E82" i="14" s="1"/>
  <c r="N83" i="14"/>
  <c r="Q103" i="10"/>
  <c r="Q102" i="10"/>
  <c r="Q110" i="10" s="1"/>
  <c r="Q104" i="10"/>
  <c r="F88" i="12"/>
  <c r="F86" i="12"/>
  <c r="F99" i="12" s="1"/>
  <c r="F100" i="12" s="1"/>
  <c r="F113" i="12" s="1"/>
  <c r="F89" i="12"/>
  <c r="F87" i="12"/>
  <c r="F115" i="12"/>
  <c r="E74" i="12"/>
  <c r="F106" i="12"/>
  <c r="F111" i="12"/>
  <c r="E73" i="13"/>
  <c r="E80" i="13" s="1"/>
  <c r="E82" i="13" s="1"/>
  <c r="E83" i="13" s="1"/>
  <c r="E91" i="13" s="1"/>
  <c r="E92" i="13" s="1"/>
  <c r="E71" i="13"/>
  <c r="E96" i="12"/>
  <c r="E102" i="10"/>
  <c r="E103" i="10"/>
  <c r="E104" i="10"/>
  <c r="D56" i="7"/>
  <c r="I108" i="13"/>
  <c r="Q87" i="10"/>
  <c r="Q93" i="10" s="1"/>
  <c r="Q92" i="10"/>
  <c r="E59" i="7"/>
  <c r="P108" i="13"/>
  <c r="E99" i="12"/>
  <c r="I70" i="14"/>
  <c r="E88" i="10"/>
  <c r="E93" i="14"/>
  <c r="E95" i="14" s="1"/>
  <c r="G75" i="14"/>
  <c r="E103" i="14"/>
  <c r="Q106" i="10"/>
  <c r="N102" i="10" s="1"/>
  <c r="E81" i="12"/>
  <c r="M36" i="12" s="1"/>
  <c r="E80" i="12"/>
  <c r="M37" i="12" s="1"/>
  <c r="D50" i="8"/>
  <c r="D109" i="8" s="1"/>
  <c r="K83" i="8"/>
  <c r="N69" i="8" s="1"/>
  <c r="E89" i="10"/>
  <c r="Q89" i="10"/>
  <c r="F71" i="13"/>
  <c r="H89" i="12"/>
  <c r="K90" i="7"/>
  <c r="N74" i="7"/>
  <c r="N73" i="7"/>
  <c r="N77" i="7"/>
  <c r="K88" i="7"/>
  <c r="K89" i="7" s="1"/>
  <c r="N76" i="7"/>
  <c r="D89" i="7" s="1"/>
  <c r="K92" i="7"/>
  <c r="N75" i="7"/>
  <c r="D49" i="8"/>
  <c r="D48" i="8"/>
  <c r="D58" i="8"/>
  <c r="D59" i="8" s="1"/>
  <c r="G103" i="13"/>
  <c r="G94" i="13"/>
  <c r="G105" i="12"/>
  <c r="G106" i="12"/>
  <c r="I106" i="14"/>
  <c r="G106" i="14"/>
  <c r="I101" i="14"/>
  <c r="I102" i="14" s="1"/>
  <c r="G101" i="14"/>
  <c r="G102" i="14" s="1"/>
  <c r="G105" i="14" s="1"/>
  <c r="E101" i="14"/>
  <c r="E102" i="14" s="1"/>
  <c r="E105" i="14" s="1"/>
  <c r="E106" i="14"/>
  <c r="D53" i="9"/>
  <c r="H73" i="13"/>
  <c r="H80" i="13" s="1"/>
  <c r="H82" i="13" s="1"/>
  <c r="H71" i="13"/>
  <c r="H105" i="12"/>
  <c r="H106" i="12"/>
  <c r="E75" i="12"/>
  <c r="D47" i="9"/>
  <c r="D51" i="9" s="1"/>
  <c r="D54" i="9"/>
  <c r="D56" i="9" s="1"/>
  <c r="D61" i="9"/>
  <c r="D60" i="9"/>
  <c r="D65" i="9" s="1"/>
  <c r="D60" i="3"/>
  <c r="D72" i="3"/>
  <c r="D52" i="3"/>
  <c r="E92" i="10"/>
  <c r="E98" i="10" s="1"/>
  <c r="K91" i="7"/>
  <c r="N84" i="7" s="1"/>
  <c r="E55" i="7"/>
  <c r="D65" i="7"/>
  <c r="E65" i="7" s="1"/>
  <c r="E54" i="7"/>
  <c r="D54" i="7"/>
  <c r="D64" i="7"/>
  <c r="E64" i="7" s="1"/>
  <c r="D55" i="7"/>
  <c r="H112" i="13"/>
  <c r="I112" i="13"/>
  <c r="F112" i="13"/>
  <c r="U123" i="13"/>
  <c r="P122" i="13"/>
  <c r="V123" i="13"/>
  <c r="H123" i="13" s="1"/>
  <c r="E111" i="13"/>
  <c r="U122" i="13" s="1"/>
  <c r="O122" i="13"/>
  <c r="I111" i="13"/>
  <c r="O123" i="13"/>
  <c r="P123" i="13"/>
  <c r="G111" i="13"/>
  <c r="I106" i="12"/>
  <c r="I99" i="12"/>
  <c r="I105" i="12" s="1"/>
  <c r="D41" i="3"/>
  <c r="G79" i="14"/>
  <c r="E79" i="14"/>
  <c r="I79" i="14"/>
  <c r="K86" i="8" l="1"/>
  <c r="N79" i="8" s="1"/>
  <c r="K84" i="8"/>
  <c r="N71" i="8"/>
  <c r="Q98" i="10"/>
  <c r="E139" i="10" s="1"/>
  <c r="E121" i="10"/>
  <c r="E110" i="10"/>
  <c r="N83" i="7"/>
  <c r="E83" i="14"/>
  <c r="N85" i="7"/>
  <c r="D72" i="9"/>
  <c r="D67" i="9"/>
  <c r="E94" i="13"/>
  <c r="E103" i="13"/>
  <c r="V122" i="13"/>
  <c r="F91" i="13"/>
  <c r="F92" i="13" s="1"/>
  <c r="F94" i="13" s="1"/>
  <c r="H83" i="13"/>
  <c r="H91" i="13" s="1"/>
  <c r="H92" i="13" s="1"/>
  <c r="E62" i="7"/>
  <c r="E68" i="7" s="1"/>
  <c r="E81" i="7" s="1"/>
  <c r="E57" i="7"/>
  <c r="E58" i="7" s="1"/>
  <c r="N80" i="7"/>
  <c r="N72" i="8"/>
  <c r="K85" i="8"/>
  <c r="F105" i="12"/>
  <c r="Q88" i="10"/>
  <c r="Q90" i="10" s="1"/>
  <c r="Q97" i="10" s="1"/>
  <c r="D51" i="8"/>
  <c r="D56" i="8"/>
  <c r="D63" i="8" s="1"/>
  <c r="D62" i="9"/>
  <c r="D64" i="9" s="1"/>
  <c r="G57" i="9"/>
  <c r="H105" i="13"/>
  <c r="N86" i="7"/>
  <c r="D88" i="7"/>
  <c r="N87" i="7"/>
  <c r="N89" i="7" s="1"/>
  <c r="K87" i="8"/>
  <c r="H118" i="8"/>
  <c r="D118" i="8"/>
  <c r="E90" i="10"/>
  <c r="E97" i="10" s="1"/>
  <c r="E130" i="10" s="1"/>
  <c r="F110" i="12"/>
  <c r="H138" i="13"/>
  <c r="H122" i="13"/>
  <c r="F138" i="13"/>
  <c r="E138" i="13"/>
  <c r="E122" i="13"/>
  <c r="I122" i="13"/>
  <c r="F122" i="13"/>
  <c r="G122" i="13"/>
  <c r="E140" i="10"/>
  <c r="N70" i="8"/>
  <c r="I93" i="14"/>
  <c r="I95" i="14" s="1"/>
  <c r="E108" i="14" s="1"/>
  <c r="I103" i="14"/>
  <c r="I82" i="14"/>
  <c r="H97" i="12"/>
  <c r="H104" i="12" s="1"/>
  <c r="G97" i="12"/>
  <c r="G104" i="12" s="1"/>
  <c r="I97" i="12"/>
  <c r="I104" i="12" s="1"/>
  <c r="F97" i="12"/>
  <c r="F98" i="12" s="1"/>
  <c r="F109" i="12" s="1"/>
  <c r="E97" i="12"/>
  <c r="E76" i="12"/>
  <c r="E89" i="13"/>
  <c r="N79" i="7"/>
  <c r="F123" i="13"/>
  <c r="I123" i="13"/>
  <c r="G123" i="13"/>
  <c r="E123" i="13"/>
  <c r="I105" i="14"/>
  <c r="E141" i="10"/>
  <c r="E142" i="10" s="1"/>
  <c r="N68" i="8"/>
  <c r="G105" i="13"/>
  <c r="E105" i="13"/>
  <c r="E102" i="13"/>
  <c r="I105" i="13"/>
  <c r="D58" i="7"/>
  <c r="N78" i="8"/>
  <c r="D57" i="7"/>
  <c r="D62" i="7"/>
  <c r="D68" i="7" s="1"/>
  <c r="D81" i="7" s="1"/>
  <c r="P106" i="13"/>
  <c r="P109" i="13" s="1"/>
  <c r="P111" i="13"/>
  <c r="P114" i="13" s="1"/>
  <c r="P115" i="13"/>
  <c r="N75" i="8" l="1"/>
  <c r="D87" i="8"/>
  <c r="D89" i="8" s="1"/>
  <c r="E122" i="10"/>
  <c r="E123" i="10"/>
  <c r="E124" i="10" s="1"/>
  <c r="E102" i="7"/>
  <c r="N82" i="8"/>
  <c r="N81" i="8"/>
  <c r="D86" i="8"/>
  <c r="D88" i="8" s="1"/>
  <c r="D90" i="8" s="1"/>
  <c r="E133" i="13"/>
  <c r="E124" i="13"/>
  <c r="E131" i="10"/>
  <c r="E132" i="10"/>
  <c r="E133" i="10" s="1"/>
  <c r="D66" i="7"/>
  <c r="D67" i="7" s="1"/>
  <c r="D80" i="7" s="1"/>
  <c r="D60" i="7"/>
  <c r="G59" i="7"/>
  <c r="N74" i="8"/>
  <c r="N80" i="8" s="1"/>
  <c r="D68" i="9"/>
  <c r="D73" i="9"/>
  <c r="E104" i="8"/>
  <c r="E103" i="8"/>
  <c r="E66" i="7"/>
  <c r="E67" i="7" s="1"/>
  <c r="E80" i="7" s="1"/>
  <c r="E60" i="7"/>
  <c r="F104" i="12"/>
  <c r="E130" i="7"/>
  <c r="I139" i="13"/>
  <c r="G129" i="13"/>
  <c r="E128" i="13"/>
  <c r="G139" i="13"/>
  <c r="G128" i="13"/>
  <c r="E127" i="13"/>
  <c r="I127" i="13"/>
  <c r="G127" i="13"/>
  <c r="I128" i="13"/>
  <c r="E139" i="13"/>
  <c r="E105" i="7"/>
  <c r="E106" i="7" s="1"/>
  <c r="D90" i="7"/>
  <c r="E104" i="7" s="1"/>
  <c r="E133" i="7"/>
  <c r="E134" i="7" s="1"/>
  <c r="H94" i="13"/>
  <c r="H103" i="13"/>
  <c r="E144" i="10"/>
  <c r="E143" i="10"/>
  <c r="E109" i="8"/>
  <c r="D52" i="8"/>
  <c r="D61" i="8"/>
  <c r="E117" i="12"/>
  <c r="E89" i="12"/>
  <c r="E115" i="12"/>
  <c r="M35" i="12"/>
  <c r="E87" i="12"/>
  <c r="N88" i="7"/>
  <c r="H102" i="13"/>
  <c r="D70" i="9"/>
  <c r="E126" i="10" l="1"/>
  <c r="E125" i="10"/>
  <c r="D54" i="8"/>
  <c r="D60" i="8"/>
  <c r="D62" i="8" s="1"/>
  <c r="G53" i="8"/>
  <c r="D104" i="7"/>
  <c r="D102" i="7"/>
  <c r="E132" i="7"/>
  <c r="Q73" i="7"/>
  <c r="Q77" i="7" s="1"/>
  <c r="Q78" i="7" s="1"/>
  <c r="D83" i="7" s="1"/>
  <c r="Q75" i="7"/>
  <c r="Q74" i="7"/>
  <c r="I124" i="13"/>
  <c r="H125" i="13" s="1"/>
  <c r="H129" i="13" s="1"/>
  <c r="I133" i="13"/>
  <c r="F95" i="13"/>
  <c r="E105" i="12"/>
  <c r="E104" i="12"/>
  <c r="E118" i="8"/>
  <c r="I118" i="8"/>
  <c r="D132" i="7"/>
  <c r="D130" i="7"/>
  <c r="D105" i="7"/>
  <c r="D106" i="7" s="1"/>
  <c r="E134" i="10"/>
  <c r="E135" i="10"/>
  <c r="N84" i="8"/>
  <c r="N83" i="8"/>
  <c r="G114" i="12"/>
  <c r="E106" i="12"/>
  <c r="E125" i="13"/>
  <c r="G125" i="13"/>
  <c r="I125" i="13"/>
  <c r="H127" i="13"/>
  <c r="H139" i="13"/>
  <c r="H128" i="13"/>
  <c r="D133" i="7"/>
  <c r="D134" i="7" s="1"/>
  <c r="E134" i="13"/>
  <c r="E135" i="13" s="1"/>
  <c r="I134" i="13"/>
  <c r="G134" i="13"/>
  <c r="D81" i="8" l="1"/>
  <c r="Q68" i="8"/>
  <c r="Q69" i="8"/>
  <c r="Q70" i="8"/>
  <c r="F103" i="13"/>
  <c r="G124" i="13"/>
  <c r="F125" i="13" s="1"/>
  <c r="F101" i="13"/>
  <c r="G133" i="13"/>
  <c r="I129" i="13"/>
  <c r="E129" i="13"/>
  <c r="I135" i="13"/>
  <c r="H135" i="13"/>
  <c r="D104" i="8"/>
  <c r="D103" i="8"/>
  <c r="Q76" i="7"/>
  <c r="D84" i="7" s="1"/>
  <c r="D86" i="7" s="1"/>
  <c r="Q71" i="8" l="1"/>
  <c r="D80" i="8" s="1"/>
  <c r="D83" i="8" s="1"/>
  <c r="E96" i="7"/>
  <c r="E108" i="7" s="1"/>
  <c r="E124" i="7"/>
  <c r="E136" i="7" s="1"/>
  <c r="D96" i="7"/>
  <c r="D108" i="7" s="1"/>
  <c r="D124" i="7"/>
  <c r="D136" i="7" s="1"/>
  <c r="E125" i="7"/>
  <c r="D97" i="7"/>
  <c r="E97" i="7"/>
  <c r="D125" i="7"/>
  <c r="F139" i="13"/>
  <c r="F127" i="13"/>
  <c r="F128" i="13"/>
  <c r="F129" i="13"/>
  <c r="Q72" i="8"/>
  <c r="Q73" i="8" s="1"/>
  <c r="D79" i="8" s="1"/>
  <c r="F135" i="13"/>
  <c r="G135" i="13"/>
  <c r="E137" i="7" l="1"/>
  <c r="E145" i="7" s="1"/>
  <c r="E126" i="7"/>
  <c r="E138" i="7" s="1"/>
  <c r="E146" i="7" s="1"/>
  <c r="D109" i="7"/>
  <c r="D117" i="7" s="1"/>
  <c r="D98" i="7"/>
  <c r="D110" i="7" s="1"/>
  <c r="D118" i="7" s="1"/>
  <c r="D82" i="8"/>
  <c r="E84" i="8"/>
  <c r="D144" i="7"/>
  <c r="D116" i="7"/>
  <c r="D137" i="7"/>
  <c r="D145" i="7" s="1"/>
  <c r="D126" i="7"/>
  <c r="D138" i="7" s="1"/>
  <c r="D146" i="7" s="1"/>
  <c r="E144" i="7"/>
  <c r="E109" i="7"/>
  <c r="E119" i="7" s="1"/>
  <c r="E98" i="7"/>
  <c r="E110" i="7" s="1"/>
  <c r="I120" i="7" s="1"/>
  <c r="E116" i="7"/>
  <c r="I116" i="7"/>
  <c r="E148" i="7" l="1"/>
  <c r="E147" i="7"/>
  <c r="D120" i="7"/>
  <c r="D119" i="7"/>
  <c r="E120" i="7"/>
  <c r="I119" i="7"/>
  <c r="E117" i="7"/>
  <c r="I117" i="7"/>
  <c r="D84" i="8"/>
  <c r="D148" i="7"/>
  <c r="I118" i="7"/>
  <c r="E118" i="7"/>
  <c r="D147" i="7"/>
  <c r="E96" i="8" l="1"/>
  <c r="E106" i="8" s="1"/>
  <c r="D99" i="8"/>
  <c r="D110" i="8" s="1"/>
  <c r="E99" i="8"/>
  <c r="E110" i="8" s="1"/>
  <c r="D96" i="8"/>
  <c r="D106" i="8" s="1"/>
  <c r="E97" i="8"/>
  <c r="D97" i="8"/>
  <c r="D107" i="8" l="1"/>
  <c r="H116" i="8" s="1"/>
  <c r="D98" i="8"/>
  <c r="D108" i="8" s="1"/>
  <c r="D117" i="8" s="1"/>
  <c r="E107" i="8"/>
  <c r="E116" i="8" s="1"/>
  <c r="E98" i="8"/>
  <c r="E108" i="8" s="1"/>
  <c r="E117" i="8" s="1"/>
  <c r="I119" i="8"/>
  <c r="E119" i="8"/>
  <c r="H113" i="8"/>
  <c r="D113" i="8"/>
  <c r="D119" i="8"/>
  <c r="H119" i="8"/>
  <c r="E113" i="8"/>
  <c r="I113" i="8"/>
  <c r="H117" i="8" l="1"/>
  <c r="I116" i="8"/>
  <c r="I115" i="8"/>
  <c r="E115" i="8"/>
  <c r="D116" i="8"/>
  <c r="E114" i="8"/>
  <c r="I114" i="8"/>
  <c r="I117" i="8"/>
  <c r="H115" i="8"/>
  <c r="D115" i="8"/>
  <c r="D114" i="8"/>
  <c r="H114" i="8"/>
</calcChain>
</file>

<file path=xl/comments1.xml><?xml version="1.0" encoding="utf-8"?>
<comments xmlns="http://schemas.openxmlformats.org/spreadsheetml/2006/main">
  <authors>
    <author>RvS</author>
    <author>sabben01</author>
  </authors>
  <commentList>
    <comment ref="B2" authorId="0">
      <text>
        <r>
          <rPr>
            <b/>
            <sz val="8"/>
            <color indexed="81"/>
            <rFont val="Tahoma"/>
            <family val="2"/>
          </rPr>
          <t>RvS:</t>
        </r>
        <r>
          <rPr>
            <sz val="8"/>
            <color indexed="81"/>
            <rFont val="Tahoma"/>
            <family val="2"/>
          </rPr>
          <t xml:space="preserve">
flenzen die voldoen aan een europese norm en binnen de P/T rating vallen hoeven niet berekend te worden</t>
        </r>
      </text>
    </comment>
    <comment ref="D7" authorId="0">
      <text>
        <r>
          <rPr>
            <b/>
            <sz val="8"/>
            <color indexed="81"/>
            <rFont val="Tahoma"/>
            <family val="2"/>
          </rPr>
          <t>RvS:</t>
        </r>
        <r>
          <rPr>
            <sz val="8"/>
            <color indexed="81"/>
            <rFont val="Tahoma"/>
            <family val="2"/>
          </rPr>
          <t xml:space="preserve">
apart berekenen met Pd = Pt als operating conditie ?</t>
        </r>
      </text>
    </comment>
    <comment ref="B37" authorId="0">
      <text>
        <r>
          <rPr>
            <b/>
            <sz val="8"/>
            <color indexed="81"/>
            <rFont val="Tahoma"/>
            <family val="2"/>
          </rPr>
          <t>RvS:</t>
        </r>
        <r>
          <rPr>
            <sz val="8"/>
            <color indexed="81"/>
            <rFont val="Tahoma"/>
            <family val="2"/>
          </rPr>
          <t xml:space="preserve">
berekening gebaseerd op 
(Taylor Forge methode) volgens BS5500 aanpassingen</t>
        </r>
      </text>
    </comment>
    <comment ref="D39" authorId="0">
      <text>
        <r>
          <rPr>
            <b/>
            <sz val="8"/>
            <color indexed="81"/>
            <rFont val="Tahoma"/>
            <family val="2"/>
          </rPr>
          <t>RvS:</t>
        </r>
        <r>
          <rPr>
            <sz val="8"/>
            <color indexed="81"/>
            <rFont val="Tahoma"/>
            <family val="2"/>
          </rPr>
          <t xml:space="preserve">
acc. 6.1</t>
        </r>
      </text>
    </comment>
    <comment ref="G39" authorId="1">
      <text>
        <r>
          <rPr>
            <b/>
            <sz val="9"/>
            <color indexed="81"/>
            <rFont val="Tahoma"/>
            <family val="2"/>
          </rPr>
          <t>sabben01:</t>
        </r>
        <r>
          <rPr>
            <sz val="9"/>
            <color indexed="81"/>
            <rFont val="Tahoma"/>
            <family val="2"/>
          </rPr>
          <t xml:space="preserve">
een exceptional condition</t>
        </r>
      </text>
    </comment>
    <comment ref="D41" authorId="0">
      <text>
        <r>
          <rPr>
            <b/>
            <sz val="8"/>
            <color indexed="81"/>
            <rFont val="Tahoma"/>
            <family val="2"/>
          </rPr>
          <t>RvS:</t>
        </r>
        <r>
          <rPr>
            <sz val="8"/>
            <color indexed="81"/>
            <rFont val="Tahoma"/>
            <family val="2"/>
          </rPr>
          <t xml:space="preserve">
acc. 11.4.3.1</t>
        </r>
      </text>
    </comment>
    <comment ref="C54" authorId="1">
      <text>
        <r>
          <rPr>
            <b/>
            <sz val="9"/>
            <color indexed="81"/>
            <rFont val="Tahoma"/>
            <family val="2"/>
          </rPr>
          <t>sabben01:</t>
        </r>
        <r>
          <rPr>
            <sz val="9"/>
            <color indexed="81"/>
            <rFont val="Tahoma"/>
            <family val="2"/>
          </rPr>
          <t xml:space="preserve">
in RTOD : 
H = F1w</t>
        </r>
      </text>
    </comment>
    <comment ref="C55" authorId="1">
      <text>
        <r>
          <rPr>
            <b/>
            <sz val="9"/>
            <color indexed="81"/>
            <rFont val="Tahoma"/>
            <family val="2"/>
          </rPr>
          <t>sabben01:</t>
        </r>
        <r>
          <rPr>
            <sz val="9"/>
            <color indexed="81"/>
            <rFont val="Tahoma"/>
            <family val="2"/>
          </rPr>
          <t xml:space="preserve">
in RTOD :
Hg = F3w</t>
        </r>
      </text>
    </comment>
    <comment ref="C57" authorId="0">
      <text>
        <r>
          <rPr>
            <b/>
            <sz val="8"/>
            <color indexed="81"/>
            <rFont val="Tahoma"/>
            <family val="2"/>
          </rPr>
          <t>RvS:</t>
        </r>
        <r>
          <rPr>
            <sz val="8"/>
            <color indexed="81"/>
            <rFont val="Tahoma"/>
            <family val="2"/>
          </rPr>
          <t xml:space="preserve">
Wm1 in asme</t>
        </r>
      </text>
    </comment>
    <comment ref="B66" authorId="0">
      <text>
        <r>
          <rPr>
            <b/>
            <sz val="8"/>
            <color indexed="81"/>
            <rFont val="Tahoma"/>
            <family val="2"/>
          </rPr>
          <t>RvS:</t>
        </r>
        <r>
          <rPr>
            <sz val="8"/>
            <color indexed="81"/>
            <rFont val="Tahoma"/>
            <family val="2"/>
          </rPr>
          <t xml:space="preserve">
assembly = gasket seating = montage bij 20 gr</t>
        </r>
      </text>
    </comment>
    <comment ref="E83" authorId="0">
      <text>
        <r>
          <rPr>
            <b/>
            <sz val="8"/>
            <color indexed="81"/>
            <rFont val="Tahoma"/>
            <family val="2"/>
          </rPr>
          <t>RvS:</t>
        </r>
        <r>
          <rPr>
            <sz val="8"/>
            <color indexed="81"/>
            <rFont val="Tahoma"/>
            <family val="2"/>
          </rPr>
          <t xml:space="preserve">
factoren berekend met macro kloppen wel</t>
        </r>
      </text>
    </comment>
    <comment ref="F83" authorId="0">
      <text>
        <r>
          <rPr>
            <b/>
            <sz val="8"/>
            <color indexed="81"/>
            <rFont val="Tahoma"/>
            <family val="2"/>
          </rPr>
          <t>RvS:</t>
        </r>
        <r>
          <rPr>
            <sz val="8"/>
            <color indexed="81"/>
            <rFont val="Tahoma"/>
            <family val="2"/>
          </rPr>
          <t xml:space="preserve">
fouten in EN13445 formules;
BS5500 waarden zijn OK</t>
        </r>
      </text>
    </comment>
    <comment ref="D95" authorId="0">
      <text>
        <r>
          <rPr>
            <b/>
            <sz val="8"/>
            <color indexed="81"/>
            <rFont val="Tahoma"/>
            <family val="2"/>
          </rPr>
          <t>RvS:</t>
        </r>
        <r>
          <rPr>
            <sz val="8"/>
            <color indexed="81"/>
            <rFont val="Tahoma"/>
            <family val="2"/>
          </rPr>
          <t xml:space="preserve">
gasket seating; montage</t>
        </r>
      </text>
    </comment>
    <comment ref="D123" authorId="0">
      <text>
        <r>
          <rPr>
            <b/>
            <sz val="8"/>
            <color indexed="81"/>
            <rFont val="Tahoma"/>
            <family val="2"/>
          </rPr>
          <t>RvS:</t>
        </r>
        <r>
          <rPr>
            <sz val="8"/>
            <color indexed="81"/>
            <rFont val="Tahoma"/>
            <family val="2"/>
          </rPr>
          <t xml:space="preserve">
gasket seating; montage</t>
        </r>
      </text>
    </comment>
  </commentList>
</comments>
</file>

<file path=xl/comments2.xml><?xml version="1.0" encoding="utf-8"?>
<comments xmlns="http://schemas.openxmlformats.org/spreadsheetml/2006/main">
  <authors>
    <author>RvS</author>
  </authors>
  <commentList>
    <comment ref="J90" authorId="0">
      <text>
        <r>
          <rPr>
            <b/>
            <sz val="8"/>
            <color indexed="81"/>
            <rFont val="Tahoma"/>
            <family val="2"/>
          </rPr>
          <t>RvS:</t>
        </r>
        <r>
          <rPr>
            <sz val="8"/>
            <color indexed="81"/>
            <rFont val="Tahoma"/>
            <family val="2"/>
          </rPr>
          <t xml:space="preserve">
assembly = gasket seating = montage bij 20 gr</t>
        </r>
      </text>
    </comment>
  </commentList>
</comments>
</file>

<file path=xl/comments3.xml><?xml version="1.0" encoding="utf-8"?>
<comments xmlns="http://schemas.openxmlformats.org/spreadsheetml/2006/main">
  <authors>
    <author>sabben01</author>
    <author>RvS</author>
  </authors>
  <commentList>
    <comment ref="B2" authorId="0">
      <text>
        <r>
          <rPr>
            <b/>
            <sz val="9"/>
            <color indexed="81"/>
            <rFont val="Tahoma"/>
            <family val="2"/>
          </rPr>
          <t>sabben01:</t>
        </r>
        <r>
          <rPr>
            <sz val="9"/>
            <color indexed="81"/>
            <rFont val="Tahoma"/>
            <family val="2"/>
          </rPr>
          <t xml:space="preserve">
zie ook EN13445 par. 10.7.</t>
        </r>
      </text>
    </comment>
    <comment ref="D7" authorId="1">
      <text>
        <r>
          <rPr>
            <b/>
            <sz val="8"/>
            <color indexed="81"/>
            <rFont val="Tahoma"/>
            <family val="2"/>
          </rPr>
          <t>RvS:</t>
        </r>
        <r>
          <rPr>
            <sz val="8"/>
            <color indexed="81"/>
            <rFont val="Tahoma"/>
            <family val="2"/>
          </rPr>
          <t xml:space="preserve">
apart berekenen met Pd = Pt als operating conditie ?</t>
        </r>
      </text>
    </comment>
    <comment ref="C24" authorId="0">
      <text>
        <r>
          <rPr>
            <b/>
            <sz val="9"/>
            <color indexed="81"/>
            <rFont val="Tahoma"/>
            <family val="2"/>
          </rPr>
          <t>sabben01:</t>
        </r>
        <r>
          <rPr>
            <sz val="9"/>
            <color indexed="81"/>
            <rFont val="Tahoma"/>
            <family val="2"/>
          </rPr>
          <t xml:space="preserve">
assumed everywere the same on long and short sides</t>
        </r>
      </text>
    </comment>
    <comment ref="B62" authorId="1">
      <text>
        <r>
          <rPr>
            <b/>
            <sz val="8"/>
            <color indexed="81"/>
            <rFont val="Tahoma"/>
            <family val="2"/>
          </rPr>
          <t>RvS:</t>
        </r>
        <r>
          <rPr>
            <sz val="8"/>
            <color indexed="81"/>
            <rFont val="Tahoma"/>
            <family val="2"/>
          </rPr>
          <t xml:space="preserve">
assembly = gasket seating = montage bij 20 gr</t>
        </r>
      </text>
    </comment>
  </commentList>
</comments>
</file>

<file path=xl/comments4.xml><?xml version="1.0" encoding="utf-8"?>
<comments xmlns="http://schemas.openxmlformats.org/spreadsheetml/2006/main">
  <authors>
    <author>sabben01</author>
    <author>RvS</author>
  </authors>
  <commentList>
    <comment ref="K11" authorId="0">
      <text>
        <r>
          <rPr>
            <b/>
            <sz val="9"/>
            <color indexed="81"/>
            <rFont val="Tahoma"/>
            <family val="2"/>
          </rPr>
          <t>sabben01:</t>
        </r>
        <r>
          <rPr>
            <sz val="9"/>
            <color indexed="81"/>
            <rFont val="Tahoma"/>
            <family val="2"/>
          </rPr>
          <t xml:space="preserve">
at ambient temperature</t>
        </r>
      </text>
    </comment>
    <comment ref="K71" authorId="1">
      <text>
        <r>
          <rPr>
            <b/>
            <sz val="8"/>
            <color indexed="81"/>
            <rFont val="Tahoma"/>
            <family val="2"/>
          </rPr>
          <t>RvS:</t>
        </r>
        <r>
          <rPr>
            <sz val="8"/>
            <color indexed="81"/>
            <rFont val="Tahoma"/>
            <family val="2"/>
          </rPr>
          <t xml:space="preserve">
kracht door interne druk op aansluitende cylinder (pet kracht)</t>
        </r>
      </text>
    </comment>
    <comment ref="K72" authorId="1">
      <text>
        <r>
          <rPr>
            <b/>
            <sz val="8"/>
            <color indexed="81"/>
            <rFont val="Tahoma"/>
            <family val="2"/>
          </rPr>
          <t>RvS:</t>
        </r>
        <r>
          <rPr>
            <sz val="8"/>
            <color indexed="81"/>
            <rFont val="Tahoma"/>
            <family val="2"/>
          </rPr>
          <t xml:space="preserve">
kracht door interne druk op de flens</t>
        </r>
      </text>
    </comment>
    <comment ref="K76" authorId="1">
      <text>
        <r>
          <rPr>
            <b/>
            <sz val="8"/>
            <color indexed="81"/>
            <rFont val="Tahoma"/>
            <family val="2"/>
          </rPr>
          <t>RvS:</t>
        </r>
        <r>
          <rPr>
            <sz val="8"/>
            <color indexed="81"/>
            <rFont val="Tahoma"/>
            <family val="2"/>
          </rPr>
          <t xml:space="preserve">
voorvervormingskracht om de pakking in te drukken</t>
        </r>
      </text>
    </comment>
  </commentList>
</comments>
</file>

<file path=xl/comments5.xml><?xml version="1.0" encoding="utf-8"?>
<comments xmlns="http://schemas.openxmlformats.org/spreadsheetml/2006/main">
  <authors>
    <author>RvS</author>
  </authors>
  <commentList>
    <comment ref="D35" authorId="0">
      <text>
        <r>
          <rPr>
            <b/>
            <sz val="8"/>
            <color indexed="81"/>
            <rFont val="Tahoma"/>
            <family val="2"/>
          </rPr>
          <t>RvS:</t>
        </r>
        <r>
          <rPr>
            <sz val="8"/>
            <color indexed="81"/>
            <rFont val="Tahoma"/>
            <family val="2"/>
          </rPr>
          <t xml:space="preserve">
montage</t>
        </r>
      </text>
    </comment>
    <comment ref="E35" authorId="0">
      <text>
        <r>
          <rPr>
            <b/>
            <sz val="8"/>
            <color indexed="81"/>
            <rFont val="Tahoma"/>
            <family val="2"/>
          </rPr>
          <t>RvS:</t>
        </r>
        <r>
          <rPr>
            <sz val="8"/>
            <color indexed="81"/>
            <rFont val="Tahoma"/>
            <family val="2"/>
          </rPr>
          <t xml:space="preserve">
hydrotest</t>
        </r>
      </text>
    </comment>
    <comment ref="F35" authorId="0">
      <text>
        <r>
          <rPr>
            <b/>
            <sz val="8"/>
            <color indexed="81"/>
            <rFont val="Tahoma"/>
            <family val="2"/>
          </rPr>
          <t>RvS:</t>
        </r>
        <r>
          <rPr>
            <sz val="8"/>
            <color indexed="81"/>
            <rFont val="Tahoma"/>
            <family val="2"/>
          </rPr>
          <t xml:space="preserve">
operating (design)</t>
        </r>
      </text>
    </comment>
    <comment ref="B37" authorId="0">
      <text>
        <r>
          <rPr>
            <b/>
            <sz val="8"/>
            <color indexed="81"/>
            <rFont val="Tahoma"/>
            <family val="2"/>
          </rPr>
          <t>RvS:</t>
        </r>
        <r>
          <rPr>
            <sz val="8"/>
            <color indexed="81"/>
            <rFont val="Tahoma"/>
            <family val="2"/>
          </rPr>
          <t xml:space="preserve">
kracht door interne druk op aansluitende cylinder (pet kracht)</t>
        </r>
      </text>
    </comment>
    <comment ref="B38" authorId="0">
      <text>
        <r>
          <rPr>
            <b/>
            <sz val="8"/>
            <color indexed="81"/>
            <rFont val="Tahoma"/>
            <family val="2"/>
          </rPr>
          <t>RvS:</t>
        </r>
        <r>
          <rPr>
            <sz val="8"/>
            <color indexed="81"/>
            <rFont val="Tahoma"/>
            <family val="2"/>
          </rPr>
          <t xml:space="preserve">
kracht door interne druk op de flens</t>
        </r>
      </text>
    </comment>
    <comment ref="B39" authorId="0">
      <text>
        <r>
          <rPr>
            <b/>
            <sz val="8"/>
            <color indexed="81"/>
            <rFont val="Tahoma"/>
            <family val="2"/>
          </rPr>
          <t>RvS:</t>
        </r>
        <r>
          <rPr>
            <sz val="8"/>
            <color indexed="81"/>
            <rFont val="Tahoma"/>
            <family val="2"/>
          </rPr>
          <t xml:space="preserve">
voorvervormingskracht om de pakking in te drukken</t>
        </r>
      </text>
    </comment>
    <comment ref="D39" authorId="0">
      <text>
        <r>
          <rPr>
            <b/>
            <sz val="8"/>
            <color indexed="81"/>
            <rFont val="Tahoma"/>
            <family val="2"/>
          </rPr>
          <t>RvS:</t>
        </r>
        <r>
          <rPr>
            <sz val="8"/>
            <color indexed="81"/>
            <rFont val="Tahoma"/>
            <family val="2"/>
          </rPr>
          <t xml:space="preserve">
max van onderstaande 3
1. pakking min seating
2. test krachten
3. operating krachten</t>
        </r>
      </text>
    </comment>
    <comment ref="C52" authorId="0">
      <text>
        <r>
          <rPr>
            <b/>
            <sz val="8"/>
            <color indexed="81"/>
            <rFont val="Tahoma"/>
            <family val="2"/>
          </rPr>
          <t>RvS:</t>
        </r>
        <r>
          <rPr>
            <sz val="8"/>
            <color indexed="81"/>
            <rFont val="Tahoma"/>
            <family val="2"/>
          </rPr>
          <t xml:space="preserve">
benodigde kracht om dichte verbinding te krijgen</t>
        </r>
      </text>
    </comment>
    <comment ref="F52" authorId="0">
      <text>
        <r>
          <rPr>
            <b/>
            <sz val="8"/>
            <color indexed="81"/>
            <rFont val="Tahoma"/>
            <family val="2"/>
          </rPr>
          <t>RvS:</t>
        </r>
        <r>
          <rPr>
            <sz val="8"/>
            <color indexed="81"/>
            <rFont val="Tahoma"/>
            <family val="2"/>
          </rPr>
          <t xml:space="preserve">
controlled: F4m = F3m
anders F4m = F4m*</t>
        </r>
      </text>
    </comment>
    <comment ref="F53" authorId="0">
      <text>
        <r>
          <rPr>
            <b/>
            <sz val="8"/>
            <color indexed="81"/>
            <rFont val="Tahoma"/>
            <family val="2"/>
          </rPr>
          <t>RvS:</t>
        </r>
        <r>
          <rPr>
            <sz val="8"/>
            <color indexed="81"/>
            <rFont val="Tahoma"/>
            <family val="2"/>
          </rPr>
          <t xml:space="preserve">
maximale kracht als bouten ongecontroleerd worden aangedraaid</t>
        </r>
      </text>
    </comment>
    <comment ref="D68" authorId="0">
      <text>
        <r>
          <rPr>
            <b/>
            <sz val="8"/>
            <color indexed="81"/>
            <rFont val="Tahoma"/>
            <family val="2"/>
          </rPr>
          <t>RvS:</t>
        </r>
        <r>
          <rPr>
            <sz val="8"/>
            <color indexed="81"/>
            <rFont val="Tahoma"/>
            <family val="2"/>
          </rPr>
          <t xml:space="preserve">
montage</t>
        </r>
      </text>
    </comment>
    <comment ref="E68" authorId="0">
      <text>
        <r>
          <rPr>
            <b/>
            <sz val="8"/>
            <color indexed="81"/>
            <rFont val="Tahoma"/>
            <family val="2"/>
          </rPr>
          <t>RvS:</t>
        </r>
        <r>
          <rPr>
            <sz val="8"/>
            <color indexed="81"/>
            <rFont val="Tahoma"/>
            <family val="2"/>
          </rPr>
          <t xml:space="preserve">
hydrotest</t>
        </r>
      </text>
    </comment>
    <comment ref="F68" authorId="0">
      <text>
        <r>
          <rPr>
            <b/>
            <sz val="8"/>
            <color indexed="81"/>
            <rFont val="Tahoma"/>
            <family val="2"/>
          </rPr>
          <t>RvS:</t>
        </r>
        <r>
          <rPr>
            <sz val="8"/>
            <color indexed="81"/>
            <rFont val="Tahoma"/>
            <family val="2"/>
          </rPr>
          <t xml:space="preserve">
operating (design)</t>
        </r>
      </text>
    </comment>
  </commentList>
</comments>
</file>

<file path=xl/comments6.xml><?xml version="1.0" encoding="utf-8"?>
<comments xmlns="http://schemas.openxmlformats.org/spreadsheetml/2006/main">
  <authors>
    <author>RvS</author>
  </authors>
  <commentList>
    <comment ref="C4" authorId="0">
      <text>
        <r>
          <rPr>
            <b/>
            <sz val="8"/>
            <color indexed="81"/>
            <rFont val="Tahoma"/>
            <family val="2"/>
          </rPr>
          <t>RvS:</t>
        </r>
        <r>
          <rPr>
            <sz val="8"/>
            <color indexed="81"/>
            <rFont val="Tahoma"/>
            <family val="2"/>
          </rPr>
          <t xml:space="preserve">
hetzelfde als ASME met een paar toevoegingen</t>
        </r>
      </text>
    </comment>
    <comment ref="E5" authorId="0">
      <text>
        <r>
          <rPr>
            <b/>
            <sz val="8"/>
            <color indexed="81"/>
            <rFont val="Tahoma"/>
            <family val="2"/>
          </rPr>
          <t>RvS:</t>
        </r>
        <r>
          <rPr>
            <sz val="8"/>
            <color indexed="81"/>
            <rFont val="Tahoma"/>
            <family val="2"/>
          </rPr>
          <t xml:space="preserve">
min.design seating stress</t>
        </r>
      </text>
    </comment>
    <comment ref="C36" authorId="0">
      <text>
        <r>
          <rPr>
            <b/>
            <sz val="8"/>
            <color indexed="81"/>
            <rFont val="Tahoma"/>
            <family val="2"/>
          </rPr>
          <t>RvS:</t>
        </r>
        <r>
          <rPr>
            <sz val="8"/>
            <color indexed="81"/>
            <rFont val="Tahoma"/>
            <family val="2"/>
          </rPr>
          <t xml:space="preserve">
kamprofiel</t>
        </r>
      </text>
    </comment>
  </commentList>
</comments>
</file>

<file path=xl/comments7.xml><?xml version="1.0" encoding="utf-8"?>
<comments xmlns="http://schemas.openxmlformats.org/spreadsheetml/2006/main">
  <authors>
    <author>sabben01</author>
    <author>RvS</author>
    <author>A satisfied Microsoft Office user</author>
  </authors>
  <commentList>
    <comment ref="D6" authorId="0">
      <text>
        <r>
          <rPr>
            <b/>
            <sz val="8"/>
            <color indexed="81"/>
            <rFont val="Tahoma"/>
            <family val="2"/>
          </rPr>
          <t>sabben01:</t>
        </r>
        <r>
          <rPr>
            <sz val="8"/>
            <color indexed="81"/>
            <rFont val="Tahoma"/>
            <family val="2"/>
          </rPr>
          <t xml:space="preserve">
nominale diameter
buitenmiddellijn Dmin</t>
        </r>
      </text>
    </comment>
    <comment ref="E6" authorId="0">
      <text>
        <r>
          <rPr>
            <b/>
            <sz val="8"/>
            <color indexed="81"/>
            <rFont val="Tahoma"/>
            <family val="2"/>
          </rPr>
          <t>sabben01:</t>
        </r>
        <r>
          <rPr>
            <sz val="8"/>
            <color indexed="81"/>
            <rFont val="Tahoma"/>
            <family val="2"/>
          </rPr>
          <t xml:space="preserve">
flankdiameter
flankmiddellijn binnendraad D2,min</t>
        </r>
      </text>
    </comment>
    <comment ref="F6" authorId="0">
      <text>
        <r>
          <rPr>
            <b/>
            <sz val="8"/>
            <color indexed="81"/>
            <rFont val="Tahoma"/>
            <family val="2"/>
          </rPr>
          <t>sabben01:</t>
        </r>
        <r>
          <rPr>
            <sz val="8"/>
            <color indexed="81"/>
            <rFont val="Tahoma"/>
            <family val="2"/>
          </rPr>
          <t xml:space="preserve">
D1,min binnendraad</t>
        </r>
      </text>
    </comment>
    <comment ref="I6" authorId="0">
      <text>
        <r>
          <rPr>
            <b/>
            <sz val="8"/>
            <color indexed="81"/>
            <rFont val="Tahoma"/>
            <family val="2"/>
          </rPr>
          <t>sabben01:</t>
        </r>
        <r>
          <rPr>
            <sz val="8"/>
            <color indexed="81"/>
            <rFont val="Tahoma"/>
            <family val="2"/>
          </rPr>
          <t xml:space="preserve">
spoed</t>
        </r>
      </text>
    </comment>
    <comment ref="J6" authorId="0">
      <text>
        <r>
          <rPr>
            <b/>
            <sz val="8"/>
            <color indexed="81"/>
            <rFont val="Tahoma"/>
            <family val="2"/>
          </rPr>
          <t>sabben01:</t>
        </r>
        <r>
          <rPr>
            <sz val="8"/>
            <color indexed="81"/>
            <rFont val="Tahoma"/>
            <family val="2"/>
          </rPr>
          <t xml:space="preserve">
kerndoorsnede Ad3</t>
        </r>
      </text>
    </comment>
    <comment ref="K6" authorId="0">
      <text>
        <r>
          <rPr>
            <b/>
            <sz val="8"/>
            <color indexed="81"/>
            <rFont val="Tahoma"/>
            <family val="2"/>
          </rPr>
          <t>sabben01:</t>
        </r>
        <r>
          <rPr>
            <sz val="8"/>
            <color indexed="81"/>
            <rFont val="Tahoma"/>
            <family val="2"/>
          </rPr>
          <t xml:space="preserve">
spanningsdoorsnede As</t>
        </r>
      </text>
    </comment>
    <comment ref="L6" authorId="0">
      <text>
        <r>
          <rPr>
            <b/>
            <sz val="8"/>
            <color indexed="81"/>
            <rFont val="Tahoma"/>
            <family val="2"/>
          </rPr>
          <t>sabben01:</t>
        </r>
        <r>
          <rPr>
            <sz val="8"/>
            <color indexed="81"/>
            <rFont val="Tahoma"/>
            <family val="2"/>
          </rPr>
          <t xml:space="preserve">
sleutelwijdte :
breedte van de moer</t>
        </r>
      </text>
    </comment>
    <comment ref="M6" authorId="1">
      <text>
        <r>
          <rPr>
            <b/>
            <sz val="8"/>
            <color indexed="81"/>
            <rFont val="Tahoma"/>
            <family val="2"/>
          </rPr>
          <t>RvS:</t>
        </r>
        <r>
          <rPr>
            <sz val="8"/>
            <color indexed="81"/>
            <rFont val="Tahoma"/>
            <family val="2"/>
          </rPr>
          <t xml:space="preserve">
moet je zelf verifieren b.v uit B16.5 
staat niet in Dow sheet
meestal 1/16" groter dan de bout</t>
        </r>
      </text>
    </comment>
    <comment ref="AF6" authorId="0">
      <text>
        <r>
          <rPr>
            <b/>
            <sz val="9"/>
            <color indexed="81"/>
            <rFont val="Tahoma"/>
            <family val="2"/>
          </rPr>
          <t>sabben01:</t>
        </r>
        <r>
          <rPr>
            <sz val="9"/>
            <color indexed="81"/>
            <rFont val="Tahoma"/>
            <family val="2"/>
          </rPr>
          <t xml:space="preserve">
effective bolt diameter
from EN13445 app. G
</t>
        </r>
      </text>
    </comment>
    <comment ref="N53" authorId="2">
      <text>
        <r>
          <rPr>
            <sz val="8"/>
            <color indexed="81"/>
            <rFont val="Tahoma"/>
            <family val="2"/>
          </rPr>
          <t xml:space="preserve">0.051 for size &lt;=    7/8" or 22 mm
0.076 for size &lt;= 1 3/8" or 35 mm
0.102 for size &lt;= 2"        or 50 mm
0.127 for size &lt;= 2 3/4" or 70 mm
0.152 for sizes 3" and above </t>
        </r>
      </text>
    </comment>
    <comment ref="N84" authorId="2">
      <text>
        <r>
          <rPr>
            <sz val="8"/>
            <color indexed="81"/>
            <rFont val="Tahoma"/>
            <family val="2"/>
          </rPr>
          <t>0.002 for size &lt;=    7/8" or 22 mm
0.003 for size &lt;= 1 3/8" or 35 mm
0.004 for size &lt;= 2"        or 50 mm
0.005 for size &lt;= 2 3/4" or 70 mm
0.006 for sizes 3" and above</t>
        </r>
      </text>
    </comment>
  </commentList>
</comments>
</file>

<file path=xl/comments8.xml><?xml version="1.0" encoding="utf-8"?>
<comments xmlns="http://schemas.openxmlformats.org/spreadsheetml/2006/main">
  <authors>
    <author>RvS</author>
  </authors>
  <commentList>
    <comment ref="C3" authorId="0">
      <text>
        <r>
          <rPr>
            <b/>
            <sz val="8"/>
            <color indexed="81"/>
            <rFont val="Tahoma"/>
            <family val="2"/>
          </rPr>
          <t>RvS:</t>
        </r>
        <r>
          <rPr>
            <sz val="8"/>
            <color indexed="81"/>
            <rFont val="Tahoma"/>
            <family val="2"/>
          </rPr>
          <t xml:space="preserve">
ASME section VIII div2 par.4.16 is hetzelfde</t>
        </r>
      </text>
    </comment>
    <comment ref="D10" authorId="0">
      <text>
        <r>
          <rPr>
            <b/>
            <sz val="8"/>
            <color indexed="81"/>
            <rFont val="Tahoma"/>
            <family val="2"/>
          </rPr>
          <t>RvS:</t>
        </r>
        <r>
          <rPr>
            <sz val="8"/>
            <color indexed="81"/>
            <rFont val="Tahoma"/>
            <family val="2"/>
          </rPr>
          <t xml:space="preserve">
assumed = 0.3
nodig voor factoren</t>
        </r>
      </text>
    </comment>
    <comment ref="C13" authorId="0">
      <text>
        <r>
          <rPr>
            <b/>
            <sz val="8"/>
            <color indexed="81"/>
            <rFont val="Tahoma"/>
            <family val="2"/>
          </rPr>
          <t>RvS:</t>
        </r>
        <r>
          <rPr>
            <sz val="8"/>
            <color indexed="81"/>
            <rFont val="Tahoma"/>
            <family val="2"/>
          </rPr>
          <t xml:space="preserve">
nodig voor rigidity berekening</t>
        </r>
      </text>
    </comment>
    <comment ref="B38" authorId="0">
      <text>
        <r>
          <rPr>
            <b/>
            <sz val="8"/>
            <color indexed="81"/>
            <rFont val="Tahoma"/>
            <family val="2"/>
          </rPr>
          <t>RvS:</t>
        </r>
        <r>
          <rPr>
            <sz val="8"/>
            <color indexed="81"/>
            <rFont val="Tahoma"/>
            <family val="2"/>
          </rPr>
          <t xml:space="preserve">
ASME flange berekening is volgens de Taylor Forge methode</t>
        </r>
      </text>
    </comment>
    <comment ref="D41" authorId="0">
      <text>
        <r>
          <rPr>
            <b/>
            <sz val="8"/>
            <color indexed="81"/>
            <rFont val="Tahoma"/>
            <family val="2"/>
          </rPr>
          <t>RvS:</t>
        </r>
        <r>
          <rPr>
            <sz val="8"/>
            <color indexed="81"/>
            <rFont val="Tahoma"/>
            <family val="2"/>
          </rPr>
          <t xml:space="preserve">
vereenvoudiging ; zie tabel 2-5.2</t>
        </r>
      </text>
    </comment>
    <comment ref="B60" authorId="0">
      <text>
        <r>
          <rPr>
            <b/>
            <sz val="8"/>
            <color indexed="81"/>
            <rFont val="Tahoma"/>
            <family val="2"/>
          </rPr>
          <t>RvS:</t>
        </r>
        <r>
          <rPr>
            <sz val="8"/>
            <color indexed="81"/>
            <rFont val="Tahoma"/>
            <family val="2"/>
          </rPr>
          <t xml:space="preserve">
assembly = gasket seating = montage bij 20 gr</t>
        </r>
      </text>
    </comment>
    <comment ref="K65" authorId="0">
      <text>
        <r>
          <rPr>
            <b/>
            <sz val="8"/>
            <color indexed="81"/>
            <rFont val="Tahoma"/>
            <family val="2"/>
          </rPr>
          <t>RvS:</t>
        </r>
        <r>
          <rPr>
            <sz val="8"/>
            <color indexed="81"/>
            <rFont val="Tahoma"/>
            <family val="2"/>
          </rPr>
          <t xml:space="preserve">
formules kloppen allemaal
komen uit ASME app.2 table 2-7.1</t>
        </r>
      </text>
    </comment>
    <comment ref="B79" authorId="0">
      <text>
        <r>
          <rPr>
            <b/>
            <sz val="8"/>
            <color indexed="81"/>
            <rFont val="Tahoma"/>
            <family val="2"/>
          </rPr>
          <t>RvS:</t>
        </r>
        <r>
          <rPr>
            <sz val="8"/>
            <color indexed="81"/>
            <rFont val="Tahoma"/>
            <family val="2"/>
          </rPr>
          <t xml:space="preserve">
dit is dezelfde factor als betaF in BS5500 en ook in EN13445</t>
        </r>
      </text>
    </comment>
    <comment ref="B86" authorId="0">
      <text>
        <r>
          <rPr>
            <b/>
            <sz val="8"/>
            <color indexed="81"/>
            <rFont val="Tahoma"/>
            <family val="2"/>
          </rPr>
          <t>RvS:</t>
        </r>
        <r>
          <rPr>
            <sz val="8"/>
            <color indexed="81"/>
            <rFont val="Tahoma"/>
            <family val="2"/>
          </rPr>
          <t xml:space="preserve">
dit is dezelfde factor als betaFl in BS5500 en ook in EN13445</t>
        </r>
      </text>
    </comment>
    <comment ref="B87" authorId="0">
      <text>
        <r>
          <rPr>
            <b/>
            <sz val="8"/>
            <color indexed="81"/>
            <rFont val="Tahoma"/>
            <family val="2"/>
          </rPr>
          <t>RvS:</t>
        </r>
        <r>
          <rPr>
            <sz val="8"/>
            <color indexed="81"/>
            <rFont val="Tahoma"/>
            <family val="2"/>
          </rPr>
          <t xml:space="preserve">
dit is dezelfde factor als betavl in BS5500 en ook in EN13445</t>
        </r>
      </text>
    </comment>
    <comment ref="D95" authorId="0">
      <text>
        <r>
          <rPr>
            <b/>
            <sz val="8"/>
            <color indexed="81"/>
            <rFont val="Tahoma"/>
            <family val="2"/>
          </rPr>
          <t>RvS:</t>
        </r>
        <r>
          <rPr>
            <sz val="8"/>
            <color indexed="81"/>
            <rFont val="Tahoma"/>
            <family val="2"/>
          </rPr>
          <t xml:space="preserve">
gasket seating; montage</t>
        </r>
      </text>
    </comment>
    <comment ref="B100" authorId="0">
      <text>
        <r>
          <rPr>
            <b/>
            <sz val="8"/>
            <color indexed="81"/>
            <rFont val="Tahoma"/>
            <family val="2"/>
          </rPr>
          <t>RvS:</t>
        </r>
        <r>
          <rPr>
            <sz val="8"/>
            <color indexed="81"/>
            <rFont val="Tahoma"/>
            <family val="2"/>
          </rPr>
          <t xml:space="preserve">
without considering a 
hub</t>
        </r>
      </text>
    </comment>
    <comment ref="I112" authorId="0">
      <text>
        <r>
          <rPr>
            <b/>
            <sz val="8"/>
            <color indexed="81"/>
            <rFont val="Tahoma"/>
            <family val="2"/>
          </rPr>
          <t>RvS:</t>
        </r>
        <r>
          <rPr>
            <sz val="8"/>
            <color indexed="81"/>
            <rFont val="Tahoma"/>
            <family val="2"/>
          </rPr>
          <t xml:space="preserve">
eta = percentage actual/allowable</t>
        </r>
      </text>
    </comment>
  </commentList>
</comments>
</file>

<file path=xl/sharedStrings.xml><?xml version="1.0" encoding="utf-8"?>
<sst xmlns="http://schemas.openxmlformats.org/spreadsheetml/2006/main" count="3453" uniqueCount="1516">
  <si>
    <t>Flange modulus: d &lt;= 1050 mm</t>
  </si>
  <si>
    <t>Flange modulus: di &gt; 1050 mm</t>
  </si>
  <si>
    <t>e'</t>
  </si>
  <si>
    <t>e"</t>
  </si>
  <si>
    <t>from Schwaigerer part 12</t>
  </si>
  <si>
    <t>distance e' = hF/2- e1</t>
  </si>
  <si>
    <t xml:space="preserve">distance e" </t>
  </si>
  <si>
    <t>par. 5.2.1 eq.28 ??</t>
  </si>
  <si>
    <t xml:space="preserve">par. 5.2.1 eq.28 </t>
  </si>
  <si>
    <t>Wbb = 1.2 pi [(da - d - 2dL') e² + 0.15 (d + sR) (sR² - s1²) + 0.05 sR (d + sR) cA]</t>
  </si>
  <si>
    <t>Stress assessment: S = M/W (stress in cross section) must be &lt; K/S (allowable stress)</t>
  </si>
  <si>
    <t>where is this from ??</t>
  </si>
  <si>
    <t>dk = sqr(4 / (pi n) FS / (Ks / Ss)) + c</t>
  </si>
  <si>
    <t xml:space="preserve">dk = sqr(4 / (pi n) FS / (Ks / Ss)) </t>
  </si>
  <si>
    <t>par. 6 eq.45</t>
  </si>
  <si>
    <t>required bolt root diameter</t>
  </si>
  <si>
    <t>Allowance for operating condition</t>
  </si>
  <si>
    <t>Modulus of elasticity at design temp</t>
  </si>
  <si>
    <t>hB = 0.58 (di/sF)^0.29 hA</t>
  </si>
  <si>
    <t>assume: operating and seating = corroded testing = not corroded</t>
  </si>
  <si>
    <t>Shape stability; flange angular rotation y must be below 1°</t>
  </si>
  <si>
    <t>shape stability; angular rotation of flange must be below 1°; greatest value expected at seating conditions</t>
  </si>
  <si>
    <t>par. 7 eq.50</t>
  </si>
  <si>
    <t>par. 7 eq.49</t>
  </si>
  <si>
    <t>s1 = FR / (pi (di+sR) K)</t>
  </si>
  <si>
    <t>Moment arm aF = (dt - (di + dD)/2)/2</t>
  </si>
  <si>
    <t>Moment arm aR = (dt - (di + sR))/2</t>
  </si>
  <si>
    <t>Moment arm a1 = (dt - di)/2 - sF</t>
  </si>
  <si>
    <t>reduced bolt hole diameter acc. par. 5.2.1</t>
  </si>
  <si>
    <t>e1</t>
  </si>
  <si>
    <t>e2</t>
  </si>
  <si>
    <t>b = da-di-2dl'</t>
  </si>
  <si>
    <t>c = hF-2e1</t>
  </si>
  <si>
    <t>par. 5.2.1 eq.27</t>
  </si>
  <si>
    <t>distance b = da-di-2 d'L</t>
  </si>
  <si>
    <t>cA = hA + hF - 2e1 (for di &gt; 1000)</t>
  </si>
  <si>
    <t>eq. 33</t>
  </si>
  <si>
    <t>eq.31</t>
  </si>
  <si>
    <t>part of cylindrical part wallthickness reserved to absorb axial force Fr (d1 in D0701) ; waar staat dit ????</t>
  </si>
  <si>
    <t>corr</t>
  </si>
  <si>
    <t>not corr</t>
  </si>
  <si>
    <t>din</t>
  </si>
  <si>
    <t>Waa = pi/4 [(da - d - 2dL') hF² + (di + sF)(sF² - sR²/4)]</t>
  </si>
  <si>
    <t>Wbb = pi [(da - d - 2dL') 2e1(e1+e2) + 3/16 (di + sR)sR²]</t>
  </si>
  <si>
    <t>eq. 34</t>
  </si>
  <si>
    <t>eq.32</t>
  </si>
  <si>
    <t>for di &gt; 1050 mm</t>
  </si>
  <si>
    <t>for di &lt;= 1050 mm</t>
  </si>
  <si>
    <t>Flange OD</t>
  </si>
  <si>
    <t>A</t>
  </si>
  <si>
    <t>B</t>
  </si>
  <si>
    <t>C</t>
  </si>
  <si>
    <t>Bolt Circle</t>
  </si>
  <si>
    <t>Flange ID</t>
  </si>
  <si>
    <t>Flange Thickness</t>
  </si>
  <si>
    <t>Flange design</t>
  </si>
  <si>
    <t>Hub length</t>
  </si>
  <si>
    <t>Hub small end</t>
  </si>
  <si>
    <t>(mm)</t>
  </si>
  <si>
    <t>(ïn)</t>
  </si>
  <si>
    <t>Hub large end</t>
  </si>
  <si>
    <t>material</t>
  </si>
  <si>
    <t>type</t>
  </si>
  <si>
    <t>weld neck</t>
  </si>
  <si>
    <t>hF</t>
  </si>
  <si>
    <t>da</t>
  </si>
  <si>
    <t>di</t>
  </si>
  <si>
    <t>dt</t>
  </si>
  <si>
    <t>hA</t>
  </si>
  <si>
    <t>s1</t>
  </si>
  <si>
    <t>sF</t>
  </si>
  <si>
    <t>number</t>
  </si>
  <si>
    <t>Opdrachtnummer</t>
  </si>
  <si>
    <t>acc. to standard</t>
  </si>
  <si>
    <t>DIN, ANSI</t>
  </si>
  <si>
    <t>Item number</t>
  </si>
  <si>
    <t>Flange type</t>
  </si>
  <si>
    <t>nominal diam.</t>
  </si>
  <si>
    <t>Bolt thread type</t>
  </si>
  <si>
    <t>Bolt 'number</t>
  </si>
  <si>
    <t>Flange material</t>
  </si>
  <si>
    <t>Bolt hole</t>
  </si>
  <si>
    <t>dL</t>
  </si>
  <si>
    <t>G</t>
  </si>
  <si>
    <t>m</t>
  </si>
  <si>
    <t>y</t>
  </si>
  <si>
    <t>design pressure</t>
  </si>
  <si>
    <t>N/mm2</t>
  </si>
  <si>
    <t>H</t>
  </si>
  <si>
    <t>Hd</t>
  </si>
  <si>
    <t>Ht</t>
  </si>
  <si>
    <t>N</t>
  </si>
  <si>
    <t>mm2</t>
  </si>
  <si>
    <t>t</t>
  </si>
  <si>
    <t>w</t>
  </si>
  <si>
    <t>F1</t>
  </si>
  <si>
    <t>F2</t>
  </si>
  <si>
    <t>F3</t>
  </si>
  <si>
    <t>Pd</t>
  </si>
  <si>
    <t>test pressure</t>
  </si>
  <si>
    <t>Pt</t>
  </si>
  <si>
    <t>Di</t>
  </si>
  <si>
    <t>Dg</t>
  </si>
  <si>
    <t>internal diameter</t>
  </si>
  <si>
    <t>mm</t>
  </si>
  <si>
    <t>Do</t>
  </si>
  <si>
    <t>outside diameter</t>
  </si>
  <si>
    <t>gasket</t>
  </si>
  <si>
    <t>flange</t>
  </si>
  <si>
    <t>width</t>
  </si>
  <si>
    <t>bg</t>
  </si>
  <si>
    <t>reaction force</t>
  </si>
  <si>
    <t>internal pressure</t>
  </si>
  <si>
    <t>gasket seating</t>
  </si>
  <si>
    <t>cg</t>
  </si>
  <si>
    <t>pgm,min</t>
  </si>
  <si>
    <t>-</t>
  </si>
  <si>
    <t>min pressure</t>
  </si>
  <si>
    <t>factor</t>
  </si>
  <si>
    <t>F3m,1</t>
  </si>
  <si>
    <t>F3m,2</t>
  </si>
  <si>
    <t>F3m,3</t>
  </si>
  <si>
    <t>F4m,1</t>
  </si>
  <si>
    <t>F4m,2</t>
  </si>
  <si>
    <t>F4m,3</t>
  </si>
  <si>
    <t>nb</t>
  </si>
  <si>
    <t>bolts</t>
  </si>
  <si>
    <t>nom diameter</t>
  </si>
  <si>
    <t>Ddb</t>
  </si>
  <si>
    <t>Reb</t>
  </si>
  <si>
    <t>yield 20 degr</t>
  </si>
  <si>
    <t>Calculation</t>
  </si>
  <si>
    <t>Input data</t>
  </si>
  <si>
    <t>root diam</t>
  </si>
  <si>
    <t>min diam</t>
  </si>
  <si>
    <t>Dbk</t>
  </si>
  <si>
    <t>Dbmin</t>
  </si>
  <si>
    <t>Abk</t>
  </si>
  <si>
    <t>Abmin</t>
  </si>
  <si>
    <t>σbm</t>
  </si>
  <si>
    <t>F4m*</t>
  </si>
  <si>
    <t>F4m</t>
  </si>
  <si>
    <t>(controlled)</t>
  </si>
  <si>
    <t>(handspanner)</t>
  </si>
  <si>
    <t>min bolt force</t>
  </si>
  <si>
    <t>bolt stress</t>
  </si>
  <si>
    <t>σb</t>
  </si>
  <si>
    <t>allowable bolt str</t>
  </si>
  <si>
    <t>fb</t>
  </si>
  <si>
    <t>Rm</t>
  </si>
  <si>
    <t>Revm</t>
  </si>
  <si>
    <t>mean diameter</t>
  </si>
  <si>
    <t>design temperature</t>
  </si>
  <si>
    <t>Td</t>
  </si>
  <si>
    <t>°C</t>
  </si>
  <si>
    <t>boltcircle</t>
  </si>
  <si>
    <t>materiaal</t>
  </si>
  <si>
    <t>allowable stress</t>
  </si>
  <si>
    <t>bolt</t>
  </si>
  <si>
    <t>f</t>
  </si>
  <si>
    <t>yield at temp</t>
  </si>
  <si>
    <t>min tensile</t>
  </si>
  <si>
    <t>f,test</t>
  </si>
  <si>
    <t>b0</t>
  </si>
  <si>
    <t>basic seating width</t>
  </si>
  <si>
    <t>(11.5-2)</t>
  </si>
  <si>
    <t xml:space="preserve">b </t>
  </si>
  <si>
    <t>(11.5-5)</t>
  </si>
  <si>
    <t>Hg</t>
  </si>
  <si>
    <t>(11.5-6)</t>
  </si>
  <si>
    <t>Wa</t>
  </si>
  <si>
    <t>Wop</t>
  </si>
  <si>
    <t>(11.5-7)</t>
  </si>
  <si>
    <t>(11.5-8)</t>
  </si>
  <si>
    <t>required bolt area</t>
  </si>
  <si>
    <t>Ab,min</t>
  </si>
  <si>
    <t>actual bolt area</t>
  </si>
  <si>
    <t xml:space="preserve">Ab </t>
  </si>
  <si>
    <t>root area</t>
  </si>
  <si>
    <t>Ar</t>
  </si>
  <si>
    <t>(11.5-9)</t>
  </si>
  <si>
    <t>(11.5-10)</t>
  </si>
  <si>
    <t>(11.5-11)</t>
  </si>
  <si>
    <t>hd</t>
  </si>
  <si>
    <t>hg</t>
  </si>
  <si>
    <t>ht</t>
  </si>
  <si>
    <t>diameter of gasket load reaction</t>
  </si>
  <si>
    <t>hydrostatic end force</t>
  </si>
  <si>
    <t>compression load on gasket</t>
  </si>
  <si>
    <t>hydrostatic end force via shell</t>
  </si>
  <si>
    <t>hydrostatic end force on face</t>
  </si>
  <si>
    <t>effective gasket or joint seat width</t>
  </si>
  <si>
    <t>g0</t>
  </si>
  <si>
    <t>g1</t>
  </si>
  <si>
    <t>e</t>
  </si>
  <si>
    <t>thickness</t>
  </si>
  <si>
    <t>(11.5-12)</t>
  </si>
  <si>
    <t>(11.5-14)</t>
  </si>
  <si>
    <t>(11.5-15)</t>
  </si>
  <si>
    <t>W</t>
  </si>
  <si>
    <t>M,op</t>
  </si>
  <si>
    <t>M,a</t>
  </si>
  <si>
    <t>N.mm</t>
  </si>
  <si>
    <t>(11.5-18)</t>
  </si>
  <si>
    <t>(11.5-17)</t>
  </si>
  <si>
    <t>total moment on flange, assembly</t>
  </si>
  <si>
    <t>total moment on flange, operatng</t>
  </si>
  <si>
    <t>design bolt load, assemby</t>
  </si>
  <si>
    <t>distance to gasket load reaction</t>
  </si>
  <si>
    <t>distance to end pressure reaction</t>
  </si>
  <si>
    <t>distance to face pressure reaction</t>
  </si>
  <si>
    <t>Cf</t>
  </si>
  <si>
    <t>K</t>
  </si>
  <si>
    <t>βt</t>
  </si>
  <si>
    <t>βu</t>
  </si>
  <si>
    <t>g1/g0</t>
  </si>
  <si>
    <t>h/l0</t>
  </si>
  <si>
    <t>l0</t>
  </si>
  <si>
    <t>h</t>
  </si>
  <si>
    <t>hub length</t>
  </si>
  <si>
    <t>hub thickness , small</t>
  </si>
  <si>
    <t>hub thickness , large</t>
  </si>
  <si>
    <t>Ma1</t>
  </si>
  <si>
    <t>Mop1</t>
  </si>
  <si>
    <t>type flens</t>
  </si>
  <si>
    <t>βy</t>
  </si>
  <si>
    <t>(11.5-4)</t>
  </si>
  <si>
    <t>min bolt load, assembly</t>
  </si>
  <si>
    <t>min bolt load, operating</t>
  </si>
  <si>
    <t>stress utilisation bolts</t>
  </si>
  <si>
    <t>Eta</t>
  </si>
  <si>
    <t>(11.5-16)</t>
  </si>
  <si>
    <t>(11.5-20)</t>
  </si>
  <si>
    <t>EN13445-3 part 11 flange calculation</t>
  </si>
  <si>
    <t>(11.5-21)</t>
  </si>
  <si>
    <t>(11.5-22)</t>
  </si>
  <si>
    <t>(11.5-23)</t>
  </si>
  <si>
    <t>(11.5-24)</t>
  </si>
  <si>
    <t>(11.5-25)</t>
  </si>
  <si>
    <t>C1</t>
  </si>
  <si>
    <t>C2</t>
  </si>
  <si>
    <t>C3</t>
  </si>
  <si>
    <t>C4</t>
  </si>
  <si>
    <t>C5</t>
  </si>
  <si>
    <t>C6</t>
  </si>
  <si>
    <t>C7</t>
  </si>
  <si>
    <t>C8</t>
  </si>
  <si>
    <t>C9</t>
  </si>
  <si>
    <t>C10</t>
  </si>
  <si>
    <t>poisson ratio</t>
  </si>
  <si>
    <t>equations 11.5.4.1.2 (coëfficients for flange stress calculation)</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</si>
  <si>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</si>
  <si>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</si>
  <si>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</si>
  <si>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</si>
  <si>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</si>
  <si>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</si>
  <si>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</si>
  <si>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</si>
  <si>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</si>
  <si>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</si>
  <si>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</si>
  <si>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</si>
  <si>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</si>
  <si>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</si>
  <si>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</si>
  <si>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</si>
  <si>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</si>
  <si>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</si>
  <si>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</si>
  <si>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</si>
  <si>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</si>
  <si>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</si>
  <si>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</si>
  <si>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</si>
  <si>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</si>
  <si>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</si>
  <si>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</si>
  <si>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E1</t>
  </si>
  <si>
    <t>E2</t>
  </si>
  <si>
    <t>E3</t>
  </si>
  <si>
    <t>E4</t>
  </si>
  <si>
    <t>E5</t>
  </si>
  <si>
    <t>E6</t>
  </si>
  <si>
    <t>βf</t>
  </si>
  <si>
    <t>(11.5-27a)</t>
  </si>
  <si>
    <t>βv</t>
  </si>
  <si>
    <t>φ</t>
  </si>
  <si>
    <t>loose hubbed flange</t>
  </si>
  <si>
    <t>integral flange method</t>
  </si>
  <si>
    <t>βf noemer</t>
  </si>
  <si>
    <t>βfl</t>
  </si>
  <si>
    <t>βvl</t>
  </si>
  <si>
    <t>βv nomer</t>
  </si>
  <si>
    <t>F</t>
  </si>
  <si>
    <t>V</t>
  </si>
  <si>
    <t>V2</t>
  </si>
  <si>
    <t>υ</t>
  </si>
  <si>
    <t>integral</t>
  </si>
  <si>
    <t>loose</t>
  </si>
  <si>
    <t>loose hubbed (slip on)</t>
  </si>
  <si>
    <t>λ</t>
  </si>
  <si>
    <t>tangential flange stress</t>
  </si>
  <si>
    <t>radial flange stress</t>
  </si>
  <si>
    <t>longitudinal hub stress</t>
  </si>
  <si>
    <t>σh</t>
  </si>
  <si>
    <t>σr</t>
  </si>
  <si>
    <t>(11-5-29)</t>
  </si>
  <si>
    <t>loose hubbed</t>
  </si>
  <si>
    <t>(11.5-30)</t>
  </si>
  <si>
    <r>
      <t>σ</t>
    </r>
    <r>
      <rPr>
        <sz val="10"/>
        <rFont val="Book Antiqua"/>
        <family val="1"/>
      </rPr>
      <t>θ</t>
    </r>
  </si>
  <si>
    <t>(11.5-32)</t>
  </si>
  <si>
    <t>(11.5-31)</t>
  </si>
  <si>
    <t>(11.5-33)</t>
  </si>
  <si>
    <t>moment for operating condition</t>
  </si>
  <si>
    <t>moment for assembly condition</t>
  </si>
  <si>
    <t>operating</t>
  </si>
  <si>
    <t>assembly</t>
  </si>
  <si>
    <t>(11.5-35)</t>
  </si>
  <si>
    <t>(11.5-36)</t>
  </si>
  <si>
    <t>(11.5-37)</t>
  </si>
  <si>
    <t>k</t>
  </si>
  <si>
    <t>stress factor</t>
  </si>
  <si>
    <t>(11.5-38)</t>
  </si>
  <si>
    <t>(11.5-39)</t>
  </si>
  <si>
    <t>(11.5-40)</t>
  </si>
  <si>
    <t>(11.5-41)</t>
  </si>
  <si>
    <t>k*σh&lt;1.5f</t>
  </si>
  <si>
    <t>k*σr&lt;f</t>
  </si>
  <si>
    <r>
      <t>k*σ</t>
    </r>
    <r>
      <rPr>
        <sz val="10"/>
        <rFont val="Book Antiqua"/>
        <family val="1"/>
      </rPr>
      <t>θ</t>
    </r>
    <r>
      <rPr>
        <sz val="10"/>
        <rFont val="Arial"/>
      </rPr>
      <t>&lt;f</t>
    </r>
  </si>
  <si>
    <r>
      <t>0.5(σh+σ</t>
    </r>
    <r>
      <rPr>
        <sz val="10"/>
        <rFont val="Book Antiqua"/>
        <family val="1"/>
      </rPr>
      <t>θ</t>
    </r>
    <r>
      <rPr>
        <sz val="10"/>
        <rFont val="Arial"/>
      </rPr>
      <t>)&lt;f</t>
    </r>
  </si>
  <si>
    <t>0.5(σh+σr)&lt;f</t>
  </si>
  <si>
    <t>(11.5-42)</t>
  </si>
  <si>
    <t>(11.5-43)</t>
  </si>
  <si>
    <t>eta</t>
  </si>
  <si>
    <t>testing</t>
  </si>
  <si>
    <t>fb,test</t>
  </si>
  <si>
    <t>stress limits (design case)</t>
  </si>
  <si>
    <t>Case: design</t>
  </si>
  <si>
    <t>Case: testing</t>
  </si>
  <si>
    <t>narrow face flange - gasket within bolt circle</t>
  </si>
  <si>
    <t>Gasket material</t>
  </si>
  <si>
    <t>asbestos, 3.2 mm</t>
  </si>
  <si>
    <t>asbestos, 1.6 mm</t>
  </si>
  <si>
    <t>asbestos, 0.8 mm</t>
  </si>
  <si>
    <t>elastomer without fabric (rubber),  &lt;75 IRH</t>
  </si>
  <si>
    <t>elastomer without fabric (rubber),  &gt;75 IRH</t>
  </si>
  <si>
    <t>elastomer (rubber) with cotton fabric</t>
  </si>
  <si>
    <t>rubber with asbestos fabric (3-ply)</t>
  </si>
  <si>
    <t>rubber with asbestos fabric (2-ply)</t>
  </si>
  <si>
    <t>rubber with asbestos fabric (1-ply)</t>
  </si>
  <si>
    <t>vegetable fibre</t>
  </si>
  <si>
    <t>psi</t>
  </si>
  <si>
    <t>spiral wound metal, with filler (SS/monel)</t>
  </si>
  <si>
    <t>corrugated metal, asb. insert, soft aluminium</t>
  </si>
  <si>
    <t>corrugated metal, asb. insert, soft copper</t>
  </si>
  <si>
    <t>corrugated metal, asb. insert, soft steel</t>
  </si>
  <si>
    <t>corrugated metal, jacketed filled, soft aluminium</t>
  </si>
  <si>
    <t>corrugated metal, asb. insert, stainless steel</t>
  </si>
  <si>
    <t xml:space="preserve">corrugated metal, jacketed filled, soft copper </t>
  </si>
  <si>
    <t>corrugated metal, jacketed filled, soft steel</t>
  </si>
  <si>
    <t>corrugated metal, jacketed filled, monel or chrome</t>
  </si>
  <si>
    <t>corrugated metal, asb. insert, monel or chrome</t>
  </si>
  <si>
    <t>corrugated metal, jacketed filled, stainless steel</t>
  </si>
  <si>
    <t>table used for flange calculations</t>
  </si>
  <si>
    <t>flat metal jacketed, asbestos filled, soft aluminium</t>
  </si>
  <si>
    <t>flat metal jacketed, asbestos filled, soft copper</t>
  </si>
  <si>
    <t>flat metal jacketed, asbestos filled, soft steel</t>
  </si>
  <si>
    <t>flat metal jacketed, asbestos filled, monel</t>
  </si>
  <si>
    <t>flat metal jacketed, asbestos filled, 4 to 6 chrome</t>
  </si>
  <si>
    <t>flat metal jacketed, asbestos filled, stainless steel</t>
  </si>
  <si>
    <t>grooved metal, soft aluminium</t>
  </si>
  <si>
    <t>grooved metal, soft copper</t>
  </si>
  <si>
    <t>grooved metal, soft steel</t>
  </si>
  <si>
    <t>grooved metal, monel or chrome</t>
  </si>
  <si>
    <t>grooved metal, stainless steel</t>
  </si>
  <si>
    <t>solid flat metal, soft aluminium</t>
  </si>
  <si>
    <t>solid flat metal, soft copper</t>
  </si>
  <si>
    <t>solid flat metal, soft steel</t>
  </si>
  <si>
    <t>solid flat metal, monel or chrome</t>
  </si>
  <si>
    <t>solid flat metal, stainless steel</t>
  </si>
  <si>
    <t>ring type joint, iron soft steel</t>
  </si>
  <si>
    <t>ring type joint, monel or chrome</t>
  </si>
  <si>
    <t>ring type joint, stainless steel</t>
  </si>
  <si>
    <t>rubber O-ring &lt; 75 IRH</t>
  </si>
  <si>
    <t>rubber O-ring &gt; 75 IRH</t>
  </si>
  <si>
    <t>rubber square ring &lt; 75 IRH</t>
  </si>
  <si>
    <t>rubber square ring &gt; 75 IRH</t>
  </si>
  <si>
    <t>rubber T-ring &lt; 75 IRH</t>
  </si>
  <si>
    <t>rubber T-ring &gt; 75 IRH</t>
  </si>
  <si>
    <t>self energizing types</t>
  </si>
  <si>
    <t>flexicarb MRG</t>
  </si>
  <si>
    <t>flexicarb Flexpro</t>
  </si>
  <si>
    <t>flexicarb NR</t>
  </si>
  <si>
    <t>non official additions --------------</t>
  </si>
  <si>
    <t>flexicarb SR</t>
  </si>
  <si>
    <t>flexicarb ST</t>
  </si>
  <si>
    <t>ASME Section VIII div.1 appendix 2 flange calculation</t>
  </si>
  <si>
    <t>allowable stress, ambient</t>
  </si>
  <si>
    <t>allowable stress, operating</t>
  </si>
  <si>
    <t>Sa</t>
  </si>
  <si>
    <t>SA-193 B7</t>
  </si>
  <si>
    <t>dk</t>
  </si>
  <si>
    <t>Sfa</t>
  </si>
  <si>
    <t xml:space="preserve">Sfo </t>
  </si>
  <si>
    <t>G0</t>
  </si>
  <si>
    <t>contact width</t>
  </si>
  <si>
    <t>R</t>
  </si>
  <si>
    <t>radial distance bolt circle to hub</t>
  </si>
  <si>
    <t>Hp</t>
  </si>
  <si>
    <t>Wm1</t>
  </si>
  <si>
    <t>Wm2</t>
  </si>
  <si>
    <t>Sb</t>
  </si>
  <si>
    <t>Am</t>
  </si>
  <si>
    <t>design bolt load, gasket seating</t>
  </si>
  <si>
    <t xml:space="preserve">gasket load, for operating </t>
  </si>
  <si>
    <t>h0</t>
  </si>
  <si>
    <t>factor, effective hub length</t>
  </si>
  <si>
    <t>h/h0</t>
  </si>
  <si>
    <t>factor from fig.2-7.2</t>
  </si>
  <si>
    <t>factor from fig.2-7.3</t>
  </si>
  <si>
    <t>T</t>
  </si>
  <si>
    <t>U</t>
  </si>
  <si>
    <t>factor, from fig.2-7.1</t>
  </si>
  <si>
    <t>Y</t>
  </si>
  <si>
    <t>factor from fig.2-7.6</t>
  </si>
  <si>
    <t>Fl</t>
  </si>
  <si>
    <t>Vl</t>
  </si>
  <si>
    <t>factor from fig.2-7.4</t>
  </si>
  <si>
    <t>factor from fig.2-7.5</t>
  </si>
  <si>
    <t>Z</t>
  </si>
  <si>
    <t>loose type</t>
  </si>
  <si>
    <t>integral flange type</t>
  </si>
  <si>
    <t>d</t>
  </si>
  <si>
    <t>L</t>
  </si>
  <si>
    <t>factor lambda</t>
  </si>
  <si>
    <t>σh&lt;1.5Sf</t>
  </si>
  <si>
    <t>σr&lt;Sf</t>
  </si>
  <si>
    <r>
      <t>σ</t>
    </r>
    <r>
      <rPr>
        <sz val="10"/>
        <rFont val="Book Antiqua"/>
        <family val="1"/>
      </rPr>
      <t>θ</t>
    </r>
    <r>
      <rPr>
        <sz val="10"/>
        <rFont val="Arial"/>
      </rPr>
      <t>&lt;Sf</t>
    </r>
  </si>
  <si>
    <t>0.5(σh+σr)&lt;Sf</t>
  </si>
  <si>
    <r>
      <t>0.5(σh+σ</t>
    </r>
    <r>
      <rPr>
        <sz val="10"/>
        <rFont val="Book Antiqua"/>
        <family val="1"/>
      </rPr>
      <t>θ</t>
    </r>
    <r>
      <rPr>
        <sz val="10"/>
        <rFont val="Arial"/>
      </rPr>
      <t>)&lt;Sf</t>
    </r>
  </si>
  <si>
    <t>longitudinal hub stress (Sh)</t>
  </si>
  <si>
    <t>radial flange stress (Sr)</t>
  </si>
  <si>
    <t>tangential flange stress (St)</t>
  </si>
  <si>
    <t>seating</t>
  </si>
  <si>
    <t>BS</t>
  </si>
  <si>
    <t>BS&lt;Sb</t>
  </si>
  <si>
    <t>J</t>
  </si>
  <si>
    <t>rigidity index</t>
  </si>
  <si>
    <t>E,a</t>
  </si>
  <si>
    <t>equations table 2.7-1 (coëfficients for flange stress calculation)</t>
  </si>
  <si>
    <t>J&lt;1</t>
  </si>
  <si>
    <t>youngs modulus,ambient</t>
  </si>
  <si>
    <t>youngs modulus,design</t>
  </si>
  <si>
    <t>E,o</t>
  </si>
  <si>
    <t>ed.2007</t>
  </si>
  <si>
    <t xml:space="preserve">Recommended gasket factors </t>
  </si>
  <si>
    <t>EN13445-3 annex H; ASME VIII div1 app.2, ASME VIII div.2 table.4.16.1</t>
  </si>
  <si>
    <t>RTOD D0701 flens berekening</t>
  </si>
  <si>
    <t>fb,a</t>
  </si>
  <si>
    <t>σv</t>
  </si>
  <si>
    <t>σopt</t>
  </si>
  <si>
    <t>σt</t>
  </si>
  <si>
    <t>DIN 2505</t>
  </si>
  <si>
    <t>uncontrolled</t>
  </si>
  <si>
    <t>Df2</t>
  </si>
  <si>
    <t>bolt hole diameter</t>
  </si>
  <si>
    <t>Df2*</t>
  </si>
  <si>
    <t>gered. boutgat</t>
  </si>
  <si>
    <t>Pgm,min</t>
  </si>
  <si>
    <t>6. assesment of the gasket</t>
  </si>
  <si>
    <t xml:space="preserve">Pg </t>
  </si>
  <si>
    <t>Pgm,max</t>
  </si>
  <si>
    <t>pgm,max</t>
  </si>
  <si>
    <t>max pressure</t>
  </si>
  <si>
    <t>actual</t>
  </si>
  <si>
    <t>Mcc</t>
  </si>
  <si>
    <t>Dfl</t>
  </si>
  <si>
    <t>bolt circle</t>
  </si>
  <si>
    <t>df2</t>
  </si>
  <si>
    <t>hub thickness large</t>
  </si>
  <si>
    <t>tang. bending moment</t>
  </si>
  <si>
    <t>M</t>
  </si>
  <si>
    <t>radial bending moment</t>
  </si>
  <si>
    <t>bolt design load</t>
  </si>
  <si>
    <t xml:space="preserve">tensile </t>
  </si>
  <si>
    <t>F3m is de required force for test pressure</t>
  </si>
  <si>
    <t>mean gasket width</t>
  </si>
  <si>
    <t>PD-5500 Rectangular flange</t>
  </si>
  <si>
    <t>enquiry case 5500/133  sept 2003</t>
  </si>
  <si>
    <t>rectangular flange - narrow gasket</t>
  </si>
  <si>
    <t>L = long side</t>
  </si>
  <si>
    <t>S = short side</t>
  </si>
  <si>
    <t>Gs</t>
  </si>
  <si>
    <t>Gl</t>
  </si>
  <si>
    <t>G0l</t>
  </si>
  <si>
    <t>G0s</t>
  </si>
  <si>
    <t>gasket outside dimension long</t>
  </si>
  <si>
    <t>gasket outside dimension short</t>
  </si>
  <si>
    <t>Bl</t>
  </si>
  <si>
    <t>Bs</t>
  </si>
  <si>
    <t>internal diameter, long side</t>
  </si>
  <si>
    <t>internal diameter, short side</t>
  </si>
  <si>
    <t>Cl</t>
  </si>
  <si>
    <t>Cs</t>
  </si>
  <si>
    <t>bolt distance long side</t>
  </si>
  <si>
    <t>bolt distance short side</t>
  </si>
  <si>
    <t>dist of gasket load reaction, short</t>
  </si>
  <si>
    <t>dist. of gasket load reaction long</t>
  </si>
  <si>
    <t>min thickness, operationg</t>
  </si>
  <si>
    <t>min thickness, bolting up</t>
  </si>
  <si>
    <t>min thickness, bolt spacing</t>
  </si>
  <si>
    <t>db</t>
  </si>
  <si>
    <t>Pbmax</t>
  </si>
  <si>
    <t>go</t>
  </si>
  <si>
    <t>min shell thickness, operating</t>
  </si>
  <si>
    <t>min shell thickness, boltup</t>
  </si>
  <si>
    <t xml:space="preserve">N </t>
  </si>
  <si>
    <t>max bolt spacing, actual</t>
  </si>
  <si>
    <t>t,req</t>
  </si>
  <si>
    <t>flange required thickness</t>
  </si>
  <si>
    <t>A350LF2</t>
  </si>
  <si>
    <t>A193 B7</t>
  </si>
  <si>
    <t>ca</t>
  </si>
  <si>
    <t>corrosion</t>
  </si>
  <si>
    <t>en13445-3:2009</t>
  </si>
  <si>
    <t>corroded internal diameter</t>
  </si>
  <si>
    <t>corroded hub thickness, small</t>
  </si>
  <si>
    <t>corroded hub thickness, large</t>
  </si>
  <si>
    <t>EN 13445</t>
  </si>
  <si>
    <t>Unfired pressure vessels</t>
  </si>
  <si>
    <t>Clause 11</t>
  </si>
  <si>
    <t>2009 (E)</t>
  </si>
  <si>
    <t>Integral flange with hub (integral method)</t>
  </si>
  <si>
    <t>Issue 3 (2011-07)</t>
  </si>
  <si>
    <t>Design pressure</t>
  </si>
  <si>
    <t>N/mm²</t>
  </si>
  <si>
    <t>Test pressure</t>
  </si>
  <si>
    <t>Design temperature</t>
  </si>
  <si>
    <t>td</t>
  </si>
  <si>
    <t>Material flange</t>
  </si>
  <si>
    <t>A-350-GR.LF2 CL1</t>
  </si>
  <si>
    <t>Min. tensile strength 20°C</t>
  </si>
  <si>
    <t>Min. proof strength 20°C</t>
  </si>
  <si>
    <t>Rp</t>
  </si>
  <si>
    <t>Min. proof strength at td</t>
  </si>
  <si>
    <t>Rpt</t>
  </si>
  <si>
    <t>Outside diameter flange</t>
  </si>
  <si>
    <t>Nominal inside diameter flange</t>
  </si>
  <si>
    <t>Bn</t>
  </si>
  <si>
    <t>Bolt circle diameter</t>
  </si>
  <si>
    <t>Nominal flange thickness</t>
  </si>
  <si>
    <t>en</t>
  </si>
  <si>
    <t>Corrosion allowance</t>
  </si>
  <si>
    <t>Flange hub</t>
  </si>
  <si>
    <t>Nominal thickness shell connection</t>
  </si>
  <si>
    <t>g0n</t>
  </si>
  <si>
    <t>Nominal hub thickness</t>
  </si>
  <si>
    <t>g1n</t>
  </si>
  <si>
    <t>(Tapered hub g1n &gt;= g0n)</t>
  </si>
  <si>
    <t>Hub height</t>
  </si>
  <si>
    <t>(Max ratio 1:1 h &gt;=g1n-g0n)</t>
  </si>
  <si>
    <t>Bolting material</t>
  </si>
  <si>
    <t>A-193-B7&lt;=2.5</t>
  </si>
  <si>
    <t>Min. tensile strength at td</t>
  </si>
  <si>
    <t>Rmt</t>
  </si>
  <si>
    <t>(For austenitic SS only)</t>
  </si>
  <si>
    <t>Number of bolts</t>
  </si>
  <si>
    <t>(nb &gt;= 4)</t>
  </si>
  <si>
    <t>Root area per bolt</t>
  </si>
  <si>
    <t>ab</t>
  </si>
  <si>
    <t>mm²</t>
  </si>
  <si>
    <t>Optional: only required for flange pairs with different design conditions (example: two flanges around a tubesheet)</t>
  </si>
  <si>
    <t>Atmospheric bolt load opposite flange</t>
  </si>
  <si>
    <t>Wamax</t>
  </si>
  <si>
    <t>Operating bolt load opposite flange</t>
  </si>
  <si>
    <t>Wopmax</t>
  </si>
  <si>
    <t xml:space="preserve">Type of gasket </t>
  </si>
  <si>
    <t>0 = Default</t>
  </si>
  <si>
    <t>(0 = default, 1 = Ring Joint)</t>
  </si>
  <si>
    <t>Outside diameter gasket</t>
  </si>
  <si>
    <t>Dog</t>
  </si>
  <si>
    <t>(O.D. sealing element)</t>
  </si>
  <si>
    <t>Gasket sealing element width</t>
  </si>
  <si>
    <t>(Guide rings not included)</t>
  </si>
  <si>
    <t>Minimum gasket seating pressure</t>
  </si>
  <si>
    <t xml:space="preserve">Gasket factor </t>
  </si>
  <si>
    <t>Gasket partition factor: default = 1.0</t>
  </si>
  <si>
    <t>Gpf</t>
  </si>
  <si>
    <t>(No. tubesheet partition lanes:1=&gt;Gpf=1.3; 2=&gt;Gpf=1.6)</t>
  </si>
  <si>
    <t>User</t>
  </si>
  <si>
    <t>Vessel Engineering Software</t>
  </si>
  <si>
    <t>Job</t>
  </si>
  <si>
    <t>P3350</t>
  </si>
  <si>
    <t>Client</t>
  </si>
  <si>
    <t>Zeeland Refinery</t>
  </si>
  <si>
    <t>Item</t>
  </si>
  <si>
    <t>293H02</t>
  </si>
  <si>
    <t>Location</t>
  </si>
  <si>
    <t>Vlissingen</t>
  </si>
  <si>
    <t>Part</t>
  </si>
  <si>
    <t>FLANGE pos 52</t>
  </si>
  <si>
    <t>Prog. rev.</t>
  </si>
  <si>
    <t>[13]</t>
  </si>
  <si>
    <t>Revision</t>
  </si>
  <si>
    <t>Date</t>
  </si>
  <si>
    <t>Signed</t>
  </si>
  <si>
    <t>Clause</t>
  </si>
  <si>
    <t>11.5</t>
  </si>
  <si>
    <t>Page</t>
  </si>
  <si>
    <t>Allowable stress values flange (f) and bolting (b)</t>
  </si>
  <si>
    <t>(ss = stainless steel)</t>
  </si>
  <si>
    <t>Min[Rpt/1.5, Rm/2.4)]</t>
  </si>
  <si>
    <t>ffo</t>
  </si>
  <si>
    <t>(operating)</t>
  </si>
  <si>
    <t>Min[Rp/1.5, Rm/2.4)]</t>
  </si>
  <si>
    <t>ffa</t>
  </si>
  <si>
    <t>(assembly)</t>
  </si>
  <si>
    <t>Rp/1.05</t>
  </si>
  <si>
    <t>fft</t>
  </si>
  <si>
    <t>(test)</t>
  </si>
  <si>
    <t>fbo</t>
  </si>
  <si>
    <t>fbt</t>
  </si>
  <si>
    <t>fB = Min[Rpt/3; Rm/4] or ss  fB=Rmt/4</t>
  </si>
  <si>
    <t>fB</t>
  </si>
  <si>
    <t>fBA = Min[Rp/3;Rm/4] or ss fBA=Rm/4</t>
  </si>
  <si>
    <t>fBA</t>
  </si>
  <si>
    <t>fBt = 1.5 fBA</t>
  </si>
  <si>
    <t>fBt</t>
  </si>
  <si>
    <t>Required PED test pressure for main pressure bearing parts</t>
  </si>
  <si>
    <t>Flange: Max[1.25 P fd(20°C)/fd;1.43 P]</t>
  </si>
  <si>
    <t>Pt(f)</t>
  </si>
  <si>
    <t>(Flange)</t>
  </si>
  <si>
    <t>Calculated values</t>
  </si>
  <si>
    <t>Basic seating width</t>
  </si>
  <si>
    <t>bo</t>
  </si>
  <si>
    <t>(bo=w/2; if ring joint bo=w/8)</t>
  </si>
  <si>
    <t>bo &lt;= 6.3 b=bo else b=2.52 Sqr(bo)</t>
  </si>
  <si>
    <t>b</t>
  </si>
  <si>
    <t>(11.5-3/11.5-4)</t>
  </si>
  <si>
    <t>Dig = Dog  - 2 w</t>
  </si>
  <si>
    <t>Dig</t>
  </si>
  <si>
    <t>G = Dog - 2 b</t>
  </si>
  <si>
    <t>(bo&lt;=6.3: G = (Dog+Dig)/2)</t>
  </si>
  <si>
    <t>B = Bn + 2 ca</t>
  </si>
  <si>
    <t>g0 = g0n - ca</t>
  </si>
  <si>
    <t>(no tolerance)</t>
  </si>
  <si>
    <t>g1 = g1n - ca</t>
  </si>
  <si>
    <t>No corrosion on gasket facing: e = en</t>
  </si>
  <si>
    <t>deltab</t>
  </si>
  <si>
    <t>(Distance bolt-bolt centers)</t>
  </si>
  <si>
    <t>Flange loadings</t>
  </si>
  <si>
    <t>H = pi/4 G² P</t>
  </si>
  <si>
    <t>HGmin =  2 pi G b m P Gpf</t>
  </si>
  <si>
    <t>Hgmin</t>
  </si>
  <si>
    <t>Wa = Max[pi b G y Gpf; Wamax]</t>
  </si>
  <si>
    <t>(Wa &gt;= Wamax)</t>
  </si>
  <si>
    <t>Wop = Max[H + Hgmin; Wopmax]</t>
  </si>
  <si>
    <t>(Wop &gt;= Wopmax)</t>
  </si>
  <si>
    <t>Abmin = Max[Wa/fBA; Wop/fB]</t>
  </si>
  <si>
    <t>Ab = nb ab</t>
  </si>
  <si>
    <t>Ab</t>
  </si>
  <si>
    <t>(Ab &gt;= Abmin)</t>
  </si>
  <si>
    <t>W = 0.5(Abmin+Ab) fBA</t>
  </si>
  <si>
    <t xml:space="preserve">HD = pi/4 B² P </t>
  </si>
  <si>
    <t>HD</t>
  </si>
  <si>
    <t>HT = H - HD</t>
  </si>
  <si>
    <t>HT</t>
  </si>
  <si>
    <t>HG = Wop - H</t>
  </si>
  <si>
    <t>HG</t>
  </si>
  <si>
    <t>hD = (C - B - g1) / 2</t>
  </si>
  <si>
    <t>hD</t>
  </si>
  <si>
    <t>hG = (C - G) / 2</t>
  </si>
  <si>
    <t>hG</t>
  </si>
  <si>
    <t>hT = (2 C - B - G) / 4</t>
  </si>
  <si>
    <t>hT</t>
  </si>
  <si>
    <t>Ma = W hG</t>
  </si>
  <si>
    <t>Ma</t>
  </si>
  <si>
    <t>Nmm</t>
  </si>
  <si>
    <t>Mop = HD hD + HT hT + HG hG</t>
  </si>
  <si>
    <t>Mop</t>
  </si>
  <si>
    <t>CF = Max[sqr(deltab/(2db+6e/(m+0.5)));1.0]</t>
  </si>
  <si>
    <t>CF</t>
  </si>
  <si>
    <t>(CF &gt;= 1.0)</t>
  </si>
  <si>
    <t>K = A / B</t>
  </si>
  <si>
    <t>l0 = sqr(B g0)</t>
  </si>
  <si>
    <t>BT = [K²(1+8.55246Log(K))-1]/[(1.0472+1.9448 K²)(K-1)]</t>
  </si>
  <si>
    <t>BU = [K²(1+8.55246Log(K))-1]/[1.36136 (K²-1)(K-1)]</t>
  </si>
  <si>
    <t>BY = 1/(K-1)(0.66845+5.7169 K²Log(K)/(K²-1))</t>
  </si>
  <si>
    <t>Ratio g1/g0</t>
  </si>
  <si>
    <t xml:space="preserve"> </t>
  </si>
  <si>
    <t>Ratio h/l0</t>
  </si>
  <si>
    <t>Integral method factor</t>
  </si>
  <si>
    <t>BF</t>
  </si>
  <si>
    <t>(Figure 11.5-4)</t>
  </si>
  <si>
    <t>BV</t>
  </si>
  <si>
    <t>(Figure 11.5-5)</t>
  </si>
  <si>
    <t>Hub stress correction factor phi</t>
  </si>
  <si>
    <t>phi</t>
  </si>
  <si>
    <t>(Figure 11.5-6)</t>
  </si>
  <si>
    <t>lam = (e BF + l0)/(BT l0) + e³ BV/(BU l0 g0²)</t>
  </si>
  <si>
    <t>Stress correction k = 2/3 (1+B/2000)</t>
  </si>
  <si>
    <t>(1.0 &lt;= k &lt;= 1.333)</t>
  </si>
  <si>
    <t>Stresses under operating condition</t>
  </si>
  <si>
    <t>M = Mop CF / B</t>
  </si>
  <si>
    <t>Nmm/mm</t>
  </si>
  <si>
    <t>(11.5-27)</t>
  </si>
  <si>
    <t>k SHo = k phi M / (lam g1²)</t>
  </si>
  <si>
    <t>k SHo</t>
  </si>
  <si>
    <t>(k |SHo| &lt;= 1.5 ffo)</t>
  </si>
  <si>
    <t>k Sro</t>
  </si>
  <si>
    <t>(k |Sro| &lt;= ffo)</t>
  </si>
  <si>
    <t>k Sto = k BY M / e² - k Sro (K²+1)/(K²-1)</t>
  </si>
  <si>
    <t>k Sto</t>
  </si>
  <si>
    <t>(11.5-34)</t>
  </si>
  <si>
    <t>(k |Sto| &lt;= ffo)</t>
  </si>
  <si>
    <t>k SHro = 0.5 k (SHo + Sro)</t>
  </si>
  <si>
    <t>k SHro</t>
  </si>
  <si>
    <t>(11.5-93)</t>
  </si>
  <si>
    <t>(k |SHro| &lt;= ffo)</t>
  </si>
  <si>
    <t>k SHto = 0.5 k (SHo + Sto)</t>
  </si>
  <si>
    <t>k SHto</t>
  </si>
  <si>
    <t>(11.5-94)</t>
  </si>
  <si>
    <t>(k |SHto| &lt;= ffo)</t>
  </si>
  <si>
    <t>Allowable stress hub</t>
  </si>
  <si>
    <t>1.5 ffo</t>
  </si>
  <si>
    <t>Stresses under atmospheric condition</t>
  </si>
  <si>
    <t>M = Ma CF / B</t>
  </si>
  <si>
    <t>(11.5-26)</t>
  </si>
  <si>
    <t>k SHa = k phi M / (lam g1²)</t>
  </si>
  <si>
    <t>k SHa</t>
  </si>
  <si>
    <t>(k |SHa| &lt;= 1.5 ffa)</t>
  </si>
  <si>
    <t>k Sra</t>
  </si>
  <si>
    <t>(k |Sra| &lt;= ffa)</t>
  </si>
  <si>
    <t>k Sta = k BY M / e² - k Sra (K²+1)/(K²-1)</t>
  </si>
  <si>
    <t>k Sta</t>
  </si>
  <si>
    <t>(k |Sta| &lt;= ffa)</t>
  </si>
  <si>
    <t>k SHra = 0.5 k (SHa + Sra)</t>
  </si>
  <si>
    <t>k SHra</t>
  </si>
  <si>
    <t>(k |SHra| &lt;= ffa)</t>
  </si>
  <si>
    <t>k SHta = 0.5 k (SHa + Sta)</t>
  </si>
  <si>
    <t>k SHta</t>
  </si>
  <si>
    <t>(k |SHta| &lt;= ffa)</t>
  </si>
  <si>
    <t>1.5 ffa</t>
  </si>
  <si>
    <t>Stresses under test condition: using ca = 0 mm, Pt and FBt</t>
  </si>
  <si>
    <t>Moment M</t>
  </si>
  <si>
    <t>Longitudinal hub stress</t>
  </si>
  <si>
    <t>k SHt</t>
  </si>
  <si>
    <t>(k |SHt| &lt;= 1.5 fft)</t>
  </si>
  <si>
    <t>Radial stress</t>
  </si>
  <si>
    <t>k Srt</t>
  </si>
  <si>
    <t>(k |Srt| &lt;= fft)</t>
  </si>
  <si>
    <t>Tangential stress</t>
  </si>
  <si>
    <t>k Stt</t>
  </si>
  <si>
    <t>(k |Stt| &lt;= fft)</t>
  </si>
  <si>
    <t>k SHrt = 0.5 k (SHt + Srt)</t>
  </si>
  <si>
    <t>k SHrt</t>
  </si>
  <si>
    <t>(k |SHrt| &lt;= fft)</t>
  </si>
  <si>
    <t>k SHtt = 0.5 k (SHt + Stt)</t>
  </si>
  <si>
    <t>k SHtt</t>
  </si>
  <si>
    <t>(k |SHtt| &lt;= fft)</t>
  </si>
  <si>
    <t>1.5 fft</t>
  </si>
  <si>
    <t>spiral wound metal, with filler (carbon st.)</t>
  </si>
  <si>
    <t>Camprofile SS with graphite layer (low pressure)</t>
  </si>
  <si>
    <t>allowable stress ffo</t>
  </si>
  <si>
    <t>95% yield</t>
  </si>
  <si>
    <t>this is acc. clause 6.1 for carbon steels</t>
  </si>
  <si>
    <t>Remarks:</t>
  </si>
  <si>
    <t>this is for carbon and low alloy steel bolts</t>
  </si>
  <si>
    <t>Bolt spacing: deltab = C *sin(C/ nb)</t>
  </si>
  <si>
    <t>H = F1w</t>
  </si>
  <si>
    <t>Hg = F3w</t>
  </si>
  <si>
    <t>Bolt data and tensioning devices</t>
  </si>
  <si>
    <t>ASME B1.1-1989 8-thread series (8-UN)</t>
  </si>
  <si>
    <t>ASME B18.2.2-1987</t>
  </si>
  <si>
    <t>Tensioners</t>
  </si>
  <si>
    <t>Tool data</t>
  </si>
  <si>
    <t>Diameters</t>
  </si>
  <si>
    <t>Thread</t>
  </si>
  <si>
    <t>Area</t>
  </si>
  <si>
    <t>Heavy nut</t>
  </si>
  <si>
    <t>Allowance for</t>
  </si>
  <si>
    <t>Color</t>
  </si>
  <si>
    <t>Effective</t>
  </si>
  <si>
    <t>Min.</t>
  </si>
  <si>
    <t>Clearance</t>
  </si>
  <si>
    <t>Installing</t>
  </si>
  <si>
    <t>Hydraulic</t>
  </si>
  <si>
    <t>Bolt reference</t>
  </si>
  <si>
    <t>Bolt size</t>
  </si>
  <si>
    <t>Bolt</t>
  </si>
  <si>
    <t>Pitch</t>
  </si>
  <si>
    <t>Minor</t>
  </si>
  <si>
    <t>Angle</t>
  </si>
  <si>
    <t>Threads/inch</t>
  </si>
  <si>
    <t>Root</t>
  </si>
  <si>
    <t>Tensile stress</t>
  </si>
  <si>
    <t>Width across flats</t>
  </si>
  <si>
    <t>thread deflection</t>
  </si>
  <si>
    <t>Tool No.</t>
  </si>
  <si>
    <t>code</t>
  </si>
  <si>
    <t>Max. Load</t>
  </si>
  <si>
    <t>OD</t>
  </si>
  <si>
    <t>at base</t>
  </si>
  <si>
    <t>Height</t>
  </si>
  <si>
    <t>boutgat</t>
  </si>
  <si>
    <t>d2</t>
  </si>
  <si>
    <t>D1</t>
  </si>
  <si>
    <t>2 alfa</t>
  </si>
  <si>
    <t>nt</t>
  </si>
  <si>
    <t>p</t>
  </si>
  <si>
    <t>Abr</t>
  </si>
  <si>
    <t>Abs</t>
  </si>
  <si>
    <t>do</t>
  </si>
  <si>
    <t>Dh</t>
  </si>
  <si>
    <t>a</t>
  </si>
  <si>
    <t>F tool max.</t>
  </si>
  <si>
    <t>D</t>
  </si>
  <si>
    <t>A hydr.</t>
  </si>
  <si>
    <t>D1min</t>
  </si>
  <si>
    <t>D1max</t>
  </si>
  <si>
    <t>Ad3</t>
  </si>
  <si>
    <t>As</t>
  </si>
  <si>
    <t>1/2"</t>
  </si>
  <si>
    <t>UNC</t>
  </si>
  <si>
    <t>5/8"</t>
  </si>
  <si>
    <t>3/4"</t>
  </si>
  <si>
    <t>Hydratight HL series: tool no. 02</t>
  </si>
  <si>
    <t>maroon</t>
  </si>
  <si>
    <t>7/8"</t>
  </si>
  <si>
    <t>1"</t>
  </si>
  <si>
    <t>Hydratight HL series: tool no. 01</t>
  </si>
  <si>
    <t>dark green</t>
  </si>
  <si>
    <t>1 1/8"</t>
  </si>
  <si>
    <t>8UN</t>
  </si>
  <si>
    <t>1 1/4"</t>
  </si>
  <si>
    <t>Hydratight HL series: tool no. 1</t>
  </si>
  <si>
    <t>dark blue</t>
  </si>
  <si>
    <t>1 3/8"</t>
  </si>
  <si>
    <t>1 1/2"</t>
  </si>
  <si>
    <t>Hydratight HL series: tool no. 2</t>
  </si>
  <si>
    <t>orange</t>
  </si>
  <si>
    <t>1 5/8"</t>
  </si>
  <si>
    <t>Hydratight HL series: tool no. 3</t>
  </si>
  <si>
    <t>black</t>
  </si>
  <si>
    <t>1 3/4"</t>
  </si>
  <si>
    <t>1 7/8"</t>
  </si>
  <si>
    <t>Hydratight HL series: tool no. 4</t>
  </si>
  <si>
    <t>red</t>
  </si>
  <si>
    <t>2"</t>
  </si>
  <si>
    <t>2 1/4"</t>
  </si>
  <si>
    <t>Hydratight HL series: tool no. 5</t>
  </si>
  <si>
    <t>grey</t>
  </si>
  <si>
    <t>2 1/2"</t>
  </si>
  <si>
    <t>Hydratight HL series: tool no. 6</t>
  </si>
  <si>
    <t>white</t>
  </si>
  <si>
    <t>2 3/4"</t>
  </si>
  <si>
    <t>Hydratight HL series: tool no. 7</t>
  </si>
  <si>
    <t>brown</t>
  </si>
  <si>
    <t>3"</t>
  </si>
  <si>
    <t>Hydratight HL series: tool no. 8</t>
  </si>
  <si>
    <t>light green</t>
  </si>
  <si>
    <t>3 1/4"</t>
  </si>
  <si>
    <t>Hydratight HL series: tool no. 8.5</t>
  </si>
  <si>
    <t>light blue</t>
  </si>
  <si>
    <t>3 1/2"</t>
  </si>
  <si>
    <t>3 3/4"</t>
  </si>
  <si>
    <t>Hydratight HL series: tool no. 10</t>
  </si>
  <si>
    <t>gold</t>
  </si>
  <si>
    <t>4"</t>
  </si>
  <si>
    <t>Metric thread according ISO; coarse thread</t>
  </si>
  <si>
    <t>M12 x 1.75</t>
  </si>
  <si>
    <t>ISO</t>
  </si>
  <si>
    <t>M14 x 2</t>
  </si>
  <si>
    <t>M16 x 2</t>
  </si>
  <si>
    <t>M18 x 2.5</t>
  </si>
  <si>
    <t>M20 x 2.5</t>
  </si>
  <si>
    <t>M22 x 2.5</t>
  </si>
  <si>
    <t>M24 x 3</t>
  </si>
  <si>
    <t>M27 x 3</t>
  </si>
  <si>
    <t>M30 x 3.5</t>
  </si>
  <si>
    <t>M33 x 3.5</t>
  </si>
  <si>
    <t>M36 x 4</t>
  </si>
  <si>
    <t>M39 x 4</t>
  </si>
  <si>
    <t>M42 x 4.5</t>
  </si>
  <si>
    <t>M45 x 4.5</t>
  </si>
  <si>
    <t>M48 x 5</t>
  </si>
  <si>
    <t>M52 x 5</t>
  </si>
  <si>
    <t xml:space="preserve">M56 x 5.5 </t>
  </si>
  <si>
    <t>M60 x 5.5</t>
  </si>
  <si>
    <t xml:space="preserve">M64 x 6 </t>
  </si>
  <si>
    <t>M68 x 6</t>
  </si>
  <si>
    <t>M80x6</t>
  </si>
  <si>
    <t xml:space="preserve">Hydratight HL 85 </t>
  </si>
  <si>
    <t>Lt.blue</t>
  </si>
  <si>
    <t>M90x6</t>
  </si>
  <si>
    <t>Metric input</t>
  </si>
  <si>
    <t>Conversion of :</t>
  </si>
  <si>
    <t>deg</t>
  </si>
  <si>
    <t>---</t>
  </si>
  <si>
    <t>Multiply with :</t>
  </si>
  <si>
    <t>To get :</t>
  </si>
  <si>
    <t>inch</t>
  </si>
  <si>
    <t>sq.inch</t>
  </si>
  <si>
    <t>lb</t>
  </si>
  <si>
    <t>Imperial input</t>
  </si>
  <si>
    <t>?</t>
  </si>
  <si>
    <t>bolt size</t>
  </si>
  <si>
    <t>nominal diameter</t>
  </si>
  <si>
    <t>bolt dimensions from boltdata</t>
  </si>
  <si>
    <t>gasket dimensions from gasket factors</t>
  </si>
  <si>
    <t>carbon steel type</t>
  </si>
  <si>
    <t>Bolt nominal diameter</t>
  </si>
  <si>
    <t>blauw = invullen</t>
  </si>
  <si>
    <t>lambda</t>
  </si>
  <si>
    <t>berekening met macro</t>
  </si>
  <si>
    <t>dit is dus een complete nieuwe berekening</t>
  </si>
  <si>
    <t>k Sra = k (1.333 e BF + l0) M / (lambda e² l0)</t>
  </si>
  <si>
    <t>k Sro = k (1.333 e BF + l0) M / (lambda e² l0)</t>
  </si>
  <si>
    <t>voor testing condities</t>
  </si>
  <si>
    <t>use this for stress analysis</t>
  </si>
  <si>
    <t>uncorroded</t>
  </si>
  <si>
    <t>BT</t>
  </si>
  <si>
    <t>BU</t>
  </si>
  <si>
    <t>BY</t>
  </si>
  <si>
    <t>Rules for pressure vessels D0701 75-12 [Issue 02-12]</t>
  </si>
  <si>
    <t>External force m=seating t=test w=oper.</t>
  </si>
  <si>
    <t>Fe</t>
  </si>
  <si>
    <t>Ext. moment m=seating t=test w=oper.</t>
  </si>
  <si>
    <t>Me</t>
  </si>
  <si>
    <t>Tensile strength at 20°C</t>
  </si>
  <si>
    <t>Yield stress at 20°C</t>
  </si>
  <si>
    <t>Re</t>
  </si>
  <si>
    <t>Yield stress at Td</t>
  </si>
  <si>
    <t>Re(Td)</t>
  </si>
  <si>
    <t>Creep tensile stress at Td</t>
  </si>
  <si>
    <t>Rmg(Td)</t>
  </si>
  <si>
    <t>Modulus of elasticity at 20°C</t>
  </si>
  <si>
    <t>Ef</t>
  </si>
  <si>
    <t>Df</t>
  </si>
  <si>
    <t>Din</t>
  </si>
  <si>
    <t>Df1</t>
  </si>
  <si>
    <t>Gasket reaction diameter</t>
  </si>
  <si>
    <t>Nominal thickness flange</t>
  </si>
  <si>
    <t>dfn</t>
  </si>
  <si>
    <t>Ca</t>
  </si>
  <si>
    <t>Nominal hub thickness (small)</t>
  </si>
  <si>
    <t>df1n</t>
  </si>
  <si>
    <t>Nominal hub thickness (large)</t>
  </si>
  <si>
    <t>df2n</t>
  </si>
  <si>
    <t>(straight hub:df2n=df1n)</t>
  </si>
  <si>
    <t>Material bolting</t>
  </si>
  <si>
    <t>Bolt hole diameter</t>
  </si>
  <si>
    <t>Smallest root area</t>
  </si>
  <si>
    <t>Root's thread area</t>
  </si>
  <si>
    <t>Bolt spanner / tensioning</t>
  </si>
  <si>
    <t>2 = Controlled</t>
  </si>
  <si>
    <t>(0 = Hand  1 = Torque  2 = Controlled)</t>
  </si>
  <si>
    <t>Controlled bolt seating force</t>
  </si>
  <si>
    <t>(use F4m&gt;=F3m  for controlled tensioning)</t>
  </si>
  <si>
    <t>Gasket type</t>
  </si>
  <si>
    <t>Ribbed metal ring &amp; covering</t>
  </si>
  <si>
    <t>austenitic stainless steel/graphite</t>
  </si>
  <si>
    <t>Gasket width</t>
  </si>
  <si>
    <t>Gasket thickness</t>
  </si>
  <si>
    <t>Gasket factor</t>
  </si>
  <si>
    <t>Pressure to seat the gasket</t>
  </si>
  <si>
    <t>PgmMin</t>
  </si>
  <si>
    <t>PgmMax</t>
  </si>
  <si>
    <t>PgwMax</t>
  </si>
  <si>
    <t>Material shell</t>
  </si>
  <si>
    <t>P355NH &lt;= 16</t>
  </si>
  <si>
    <t>Length cylinder connection</t>
  </si>
  <si>
    <t>Lc</t>
  </si>
  <si>
    <t>Calculated corroded values</t>
  </si>
  <si>
    <t>df1</t>
  </si>
  <si>
    <t>df</t>
  </si>
  <si>
    <t>Allowable stress</t>
  </si>
  <si>
    <t>fbs = Min[0.79Re,0.59Rm]</t>
  </si>
  <si>
    <t>fbt = Min[0.72Re,0.54Rm]</t>
  </si>
  <si>
    <t>fbw = Min[0.63Re(Td),0.47Rm,0.63Rmg(Td)]</t>
  </si>
  <si>
    <t xml:space="preserve">Vessel Engineering Software, </t>
  </si>
  <si>
    <t>Issue</t>
  </si>
  <si>
    <t>VES [13]</t>
  </si>
  <si>
    <t>0</t>
  </si>
  <si>
    <t>Code</t>
  </si>
  <si>
    <t>D0701</t>
  </si>
  <si>
    <t>Kv m,t = 1, Kv w = 1+(df²+(bf-Df2*)²)/(2.6 df²)</t>
  </si>
  <si>
    <t>Kv</t>
  </si>
  <si>
    <t/>
  </si>
  <si>
    <t>Fed = Fe + 4Me / (Di+df1)</t>
  </si>
  <si>
    <t>Fed</t>
  </si>
  <si>
    <t>FeM = Fe+4|Me|(Di+Df) / ((Di+df1)(2Dfl Kv))</t>
  </si>
  <si>
    <t>FeM</t>
  </si>
  <si>
    <t>Fea = Fe + 4|Me| / Dfl</t>
  </si>
  <si>
    <t>Fea</t>
  </si>
  <si>
    <t>Forces in flange connection</t>
  </si>
  <si>
    <t>Seating(m)</t>
  </si>
  <si>
    <t>Test(t)</t>
  </si>
  <si>
    <t>Operating(w)</t>
  </si>
  <si>
    <t>F1 = 0.25pi Di² P</t>
  </si>
  <si>
    <t>F2 = 0.25pi (Dg²-Di²)P</t>
  </si>
  <si>
    <t>F3m = Max.</t>
  </si>
  <si>
    <t>pi Dg bg PgmMin</t>
  </si>
  <si>
    <t>1.1 (F1t+Feat+F2t+F3t)</t>
  </si>
  <si>
    <t>1.2 (F1w+Feaw+F2w+F3w)</t>
  </si>
  <si>
    <t>F3t=pi Dg cg bg Pt     F3w=1.2 pi Dg cg bg Pd</t>
  </si>
  <si>
    <t>Nominal bolt thread diameter</t>
  </si>
  <si>
    <t>1350/Sqrt(Ddb)</t>
  </si>
  <si>
    <t>Sbm</t>
  </si>
  <si>
    <t>0.9 nb Abmin Reb</t>
  </si>
  <si>
    <t>0.77 nb Abk Reb</t>
  </si>
  <si>
    <t>nb Abk Sbm</t>
  </si>
  <si>
    <t>(Hand spanner only)</t>
  </si>
  <si>
    <t>Governing bolt force seating</t>
  </si>
  <si>
    <t>F4</t>
  </si>
  <si>
    <t>Moment and section modulus</t>
  </si>
  <si>
    <t>Maximum(Df2(1-Di/1000) , 0.5Df2)</t>
  </si>
  <si>
    <t>Allowable stress shell: fcm,t,w</t>
  </si>
  <si>
    <t>fc</t>
  </si>
  <si>
    <t>d1 = (F1+Fed) / (pi(Di+df1)fc)</t>
  </si>
  <si>
    <t>d1</t>
  </si>
  <si>
    <t>Radial bending moment (see 1)</t>
  </si>
  <si>
    <t>Radial bending moment (see 2)</t>
  </si>
  <si>
    <t>Mt'</t>
  </si>
  <si>
    <t>Mcc = (F1+Fea+F2+F3)(0.5(Df1-Di)-df2)</t>
  </si>
  <si>
    <t>Mcct' = F4m(0.5(Df1-Di)-df2)</t>
  </si>
  <si>
    <t>Mcct'</t>
  </si>
  <si>
    <t>Lmin=0.8sqr(df1(Di+df1))</t>
  </si>
  <si>
    <t>Lmin</t>
  </si>
  <si>
    <t>A1 = df(bf-Df2')</t>
  </si>
  <si>
    <t>A1</t>
  </si>
  <si>
    <t>A2 = h/2(df2-df1)</t>
  </si>
  <si>
    <t>A2</t>
  </si>
  <si>
    <t>A3 =  h df1</t>
  </si>
  <si>
    <t>A3</t>
  </si>
  <si>
    <t>cf=fc/ff : Lc &lt; Lmin use cf = 0 and Waat' = Waat</t>
  </si>
  <si>
    <t>s={A1(df/2)+A2(df+h/3)+A3(df+h/2) }/(A1+A2+A3)</t>
  </si>
  <si>
    <t>Waa=1/6{4s²(bf-Df2')+cf(Di+df1)/2 (df1²-d1²) }</t>
  </si>
  <si>
    <t>mm3</t>
  </si>
  <si>
    <t>Waat'=Waat+1/6(df+h-s)(df1-1.7d1t)sqr(df1(Di+df1))</t>
  </si>
  <si>
    <t>Wbb=1/6{(bf-Df2')df²+(Di+df2)/2 (df2²-d1²)}</t>
  </si>
  <si>
    <t>Wbbt'=Wbbt+df/12(df2-1.7d1t)sqr(df2(Di+df2))</t>
  </si>
  <si>
    <t>Wcc=pi/6(Di+2df2)df²</t>
  </si>
  <si>
    <t>Allowable stress flange: ffm,t,w</t>
  </si>
  <si>
    <t>ff</t>
  </si>
  <si>
    <t>Cb = Sqr(pi Df1/(nb(2Df2+df))) &gt;= 1</t>
  </si>
  <si>
    <t>Cb</t>
  </si>
  <si>
    <t>Stresses AA: Saa = Cb M/Waa &lt;= ff</t>
  </si>
  <si>
    <t>Saa</t>
  </si>
  <si>
    <t>Stresses BB: Sbb = Cb M/Wbb &lt;= ff</t>
  </si>
  <si>
    <t>Sbb</t>
  </si>
  <si>
    <t>Stresses CC: Scc = Cb Mcc/Wcc &lt;= ff</t>
  </si>
  <si>
    <t>Scc</t>
  </si>
  <si>
    <t>Shape stability</t>
  </si>
  <si>
    <t>Allowable stress flange test</t>
  </si>
  <si>
    <t>1.35*Re</t>
  </si>
  <si>
    <t>Cb Mt'/Waat' &lt;= 1.35 Re</t>
  </si>
  <si>
    <t>Saat</t>
  </si>
  <si>
    <t>Cb Mt'/Wbbt' &lt;= 1.35 Re</t>
  </si>
  <si>
    <t>Sbbt</t>
  </si>
  <si>
    <t>Cb Mcct'/Wcc &lt;= 1.35 Re</t>
  </si>
  <si>
    <t>Scct</t>
  </si>
  <si>
    <t>Fibre distance</t>
  </si>
  <si>
    <t>180°/pi cb Mt'/Wbbt' Dg/(2 s1 Ef)&lt;=1°</t>
  </si>
  <si>
    <t>°</t>
  </si>
  <si>
    <t>Allowable stress bolts fbm,t,w</t>
  </si>
  <si>
    <t>S = (F1+Fea+F2+F3)/(nb Abmin) &lt;= fb</t>
  </si>
  <si>
    <t>S</t>
  </si>
  <si>
    <t>Assessment of the gasket</t>
  </si>
  <si>
    <t>Pg3</t>
  </si>
  <si>
    <t>1) M = { (F1+FeM)(Df1-Di-df1) + F2(Df1-0.5(Di+Dg)) + F3(Df1-Dg) } / (4pi)</t>
  </si>
  <si>
    <t>2) Mt' = { (F1t+FeMt)(Df1-Di-df1) + F2t(Df1-0.5(Di+Dg)) + (F4m-(F1t+FeMt)-F2t)(Df1-Dg) } / (4pi)</t>
  </si>
  <si>
    <t>3) s1 = 0.5df + 0.35Max{h/df sqr(df2(Di+df2)), sqrt(df1(Di+df1)) }         with 0 &lt;=  h/df &lt;= 1</t>
  </si>
  <si>
    <t>Inside diameter Di+2*ca</t>
  </si>
  <si>
    <t>Hub thickness (small)  df1n - ca</t>
  </si>
  <si>
    <t>Hub thickness at flange df2n - ca</t>
  </si>
  <si>
    <t>Flange thickness dfn - ca</t>
  </si>
  <si>
    <t>gasket seating force</t>
  </si>
  <si>
    <t>internal pressure force</t>
  </si>
  <si>
    <t>F3m =</t>
  </si>
  <si>
    <t>F3m,3 = required force for design pressure</t>
  </si>
  <si>
    <t>F4 = bolt design load (applied bolt load)</t>
  </si>
  <si>
    <t>min bolt force required for tight joint</t>
  </si>
  <si>
    <t>F3m,2 = required force for test pressure (W in ASME or EN calculation)</t>
  </si>
  <si>
    <t>reduced diameter of bolt hole</t>
  </si>
  <si>
    <t>tangential bending moment</t>
  </si>
  <si>
    <t>Pg3 = min gasket pressure</t>
  </si>
  <si>
    <t>actual bolt stress</t>
  </si>
  <si>
    <t>must be greater than pg3</t>
  </si>
  <si>
    <t>Waa</t>
  </si>
  <si>
    <t>bf</t>
  </si>
  <si>
    <t>Flange width  (Df-Di)/2</t>
  </si>
  <si>
    <t>use corroded dimensions for calculating section modulus</t>
  </si>
  <si>
    <t>3.1. Flange with conical hub</t>
  </si>
  <si>
    <t>Flange connections (3.1. Flange with conical hub)</t>
  </si>
  <si>
    <t>ffm,fcm = Min[1.25Re,0.84Rm]</t>
  </si>
  <si>
    <t>fft,fct = Min[1.15Re,0.77Rm]</t>
  </si>
  <si>
    <t>ffw,fcw = Min[Re(Td),0.67Rm,Rmg(Td)]</t>
  </si>
  <si>
    <t>design stress cylindrical part</t>
  </si>
  <si>
    <t>part of cylindrical part wallthickness reserved to absorb axial force F1</t>
  </si>
  <si>
    <t>section modulus cylindrical part line AA</t>
  </si>
  <si>
    <t>section modulus hubbed part line BB</t>
  </si>
  <si>
    <t>section modulus flange part CC; especially relevant for relatively thin flanges (like DIN flanges) with external forces</t>
  </si>
  <si>
    <t>design stress flange part</t>
  </si>
  <si>
    <t>distance from neutral line to sealing face</t>
  </si>
  <si>
    <t>min. length of cylindrical part ; if less this part doesnot contribute to the section modulus (cf=0)</t>
  </si>
  <si>
    <t>elasticity</t>
  </si>
  <si>
    <t>nodig voor shape stability</t>
  </si>
  <si>
    <t>MPa</t>
  </si>
  <si>
    <t>Pg</t>
  </si>
  <si>
    <t>Pg = F4m/(pi Dg bg) &lt;= PgmMax</t>
  </si>
  <si>
    <t>Pg = actual gasket pressure</t>
  </si>
  <si>
    <t>Pg3 = F3m/(pi Dg bg) &lt;=Pg</t>
  </si>
  <si>
    <t>Calculation of</t>
  </si>
  <si>
    <t>Flanged joint calculation</t>
  </si>
  <si>
    <t xml:space="preserve"> DIN V 2505</t>
  </si>
  <si>
    <t>pressure vessels</t>
  </si>
  <si>
    <t>Integral flange with hub</t>
  </si>
  <si>
    <t xml:space="preserve"> January 1986</t>
  </si>
  <si>
    <t>pt</t>
  </si>
  <si>
    <t>External force operating</t>
  </si>
  <si>
    <t>(optional: default = 0)</t>
  </si>
  <si>
    <t>External moment operating</t>
  </si>
  <si>
    <t>Mz</t>
  </si>
  <si>
    <t>Nm</t>
  </si>
  <si>
    <t>v</t>
  </si>
  <si>
    <t>Flange</t>
  </si>
  <si>
    <t>Material</t>
  </si>
  <si>
    <t>Strength value design</t>
  </si>
  <si>
    <t>Strength value test and seating</t>
  </si>
  <si>
    <t>K20</t>
  </si>
  <si>
    <t>Safety factor</t>
  </si>
  <si>
    <t>Safety factor test and seating</t>
  </si>
  <si>
    <t>S'</t>
  </si>
  <si>
    <t>E</t>
  </si>
  <si>
    <t>E20</t>
  </si>
  <si>
    <t>Outside flange diameter</t>
  </si>
  <si>
    <t>Inside flange diameter</t>
  </si>
  <si>
    <t>Hub height (conical part)</t>
  </si>
  <si>
    <t>hFn</t>
  </si>
  <si>
    <t>Nominal cylinder thickness</t>
  </si>
  <si>
    <t>sRn</t>
  </si>
  <si>
    <t>sFn</t>
  </si>
  <si>
    <t>c2</t>
  </si>
  <si>
    <t>Bolts</t>
  </si>
  <si>
    <t xml:space="preserve"> -</t>
  </si>
  <si>
    <t>Ks</t>
  </si>
  <si>
    <t>Ks20</t>
  </si>
  <si>
    <t>Safety factor design</t>
  </si>
  <si>
    <t>Ss</t>
  </si>
  <si>
    <t>Ss'</t>
  </si>
  <si>
    <t>n</t>
  </si>
  <si>
    <t>Bolt shaft diameter</t>
  </si>
  <si>
    <t>ds</t>
  </si>
  <si>
    <t>Bolt root diameter</t>
  </si>
  <si>
    <t>User defined bolt force seating</t>
  </si>
  <si>
    <t>PSx</t>
  </si>
  <si>
    <t>Gasket (DIN 2505 table 1 and table 2)</t>
  </si>
  <si>
    <t>Outside gasket diameter</t>
  </si>
  <si>
    <t>doD</t>
  </si>
  <si>
    <t>bD</t>
  </si>
  <si>
    <t>Number of grooves camprofile</t>
  </si>
  <si>
    <t>(if camprofile: Z &gt; 0)</t>
  </si>
  <si>
    <t>Medium type</t>
  </si>
  <si>
    <t>0 = Liquid</t>
  </si>
  <si>
    <t>(0 = Liquid, 1 = Gass/Vapor)</t>
  </si>
  <si>
    <t>Gasket number</t>
  </si>
  <si>
    <t>(0 = user defined)</t>
  </si>
  <si>
    <t>Gasket description</t>
  </si>
  <si>
    <t>Grooved: Camprofile, Graphite on heat-resistant low alloy steel</t>
  </si>
  <si>
    <t>k1</t>
  </si>
  <si>
    <t>Allowable gasket load factor</t>
  </si>
  <si>
    <t>Nonmetallic gaskets (k0·KD &gt; 0)</t>
  </si>
  <si>
    <t>Gasket design factor at 20°C</t>
  </si>
  <si>
    <t>k0·KD</t>
  </si>
  <si>
    <t>N/mm</t>
  </si>
  <si>
    <t>Apply retightening</t>
  </si>
  <si>
    <t>Yes/No</t>
  </si>
  <si>
    <t>No</t>
  </si>
  <si>
    <t>(only for non-metal gaskets, reduces required bolt load)</t>
  </si>
  <si>
    <t>Metallic gaskets (k0·KD = 0)</t>
  </si>
  <si>
    <t>Metal gasket material (table 2)</t>
  </si>
  <si>
    <t>0 = User defined</t>
  </si>
  <si>
    <t>Gasket precompression width</t>
  </si>
  <si>
    <t>k0</t>
  </si>
  <si>
    <t>Gasket stability factor at v</t>
  </si>
  <si>
    <t>KDv</t>
  </si>
  <si>
    <t>Gasket deformation resistance</t>
  </si>
  <si>
    <t>KD</t>
  </si>
  <si>
    <t>Mean gasket diameter</t>
  </si>
  <si>
    <t>dD</t>
  </si>
  <si>
    <t>Flange thickness</t>
  </si>
  <si>
    <t>Cylinder connection thickness</t>
  </si>
  <si>
    <t>sR</t>
  </si>
  <si>
    <t>Paragraph 4: Forces</t>
  </si>
  <si>
    <t>Operating</t>
  </si>
  <si>
    <t>Seating</t>
  </si>
  <si>
    <t>Test</t>
  </si>
  <si>
    <t>Paragraph 4.4.1: precompression force</t>
  </si>
  <si>
    <t>Paragraph 4.4.2: minimum sealing force</t>
  </si>
  <si>
    <t>Safety factor SD</t>
  </si>
  <si>
    <t>SD</t>
  </si>
  <si>
    <t>Paragraph 4.4.4: Gasket durabilty</t>
  </si>
  <si>
    <t>Camprofile cz=Sqrt(Z) else cz=1.0</t>
  </si>
  <si>
    <t>cz</t>
  </si>
  <si>
    <t>Gasket factor at temperature</t>
  </si>
  <si>
    <t>Paragraph 4.5: bolt forces</t>
  </si>
  <si>
    <t>Bolt tightening factor 110% / 120%</t>
  </si>
  <si>
    <t>crt</t>
  </si>
  <si>
    <t>Paragraph 5.1: flange bending moments</t>
  </si>
  <si>
    <t xml:space="preserve">Moment arm aD = (dt - dD)/2 </t>
  </si>
  <si>
    <t>aD</t>
  </si>
  <si>
    <t>aF</t>
  </si>
  <si>
    <t>aR</t>
  </si>
  <si>
    <t>a1</t>
  </si>
  <si>
    <t>M0</t>
  </si>
  <si>
    <t>M1</t>
  </si>
  <si>
    <t>MC</t>
  </si>
  <si>
    <t>Paragraph 5.2: flange modulus</t>
  </si>
  <si>
    <t xml:space="preserve">d'L = dL/2 or d'L = dL(1-d/1000) </t>
  </si>
  <si>
    <t>d'L</t>
  </si>
  <si>
    <t>Distance of centre of gravity</t>
  </si>
  <si>
    <t>cA</t>
  </si>
  <si>
    <t>Flange modulus A-A</t>
  </si>
  <si>
    <t>mm³</t>
  </si>
  <si>
    <t>Flange modulus B-B</t>
  </si>
  <si>
    <t>Wbb</t>
  </si>
  <si>
    <t>Wcc</t>
  </si>
  <si>
    <t>Paragraph 5.3: stresses</t>
  </si>
  <si>
    <t>Stress section A-A Saa = M/Waa</t>
  </si>
  <si>
    <t>Stress section B-B Sbb = M/Wbb</t>
  </si>
  <si>
    <t>Stress section C-C Scc = Mc/Wcc</t>
  </si>
  <si>
    <t>Grade of material</t>
  </si>
  <si>
    <t>z</t>
  </si>
  <si>
    <t xml:space="preserve">Allowable stress flange </t>
  </si>
  <si>
    <t>K/(Sz)</t>
  </si>
  <si>
    <t>Paragraph 6: bolts</t>
  </si>
  <si>
    <t>c</t>
  </si>
  <si>
    <t>Paragraph 7: flange rotation</t>
  </si>
  <si>
    <t>hB</t>
  </si>
  <si>
    <t>W = Waa</t>
  </si>
  <si>
    <t>y = 0.75 (M (da + d) / (E (hF + hB) W) 57.3</t>
  </si>
  <si>
    <t>Waa = 1.2 pi/4 [(da - d - 2dL') hF² + 0.8 (d + sF)(sF² - s1²) + 0.1 sF (d + sF) hF]</t>
  </si>
  <si>
    <t>Bolted flange connections</t>
  </si>
  <si>
    <t>AD-Merkblatt</t>
  </si>
  <si>
    <t>Integral flange with conical hub</t>
  </si>
  <si>
    <t>B7/B8</t>
  </si>
  <si>
    <t>Pb</t>
  </si>
  <si>
    <t>Pp</t>
  </si>
  <si>
    <t>Modulus of elasticity at T</t>
  </si>
  <si>
    <t>Outside diameter</t>
  </si>
  <si>
    <t>Inside diameter flange</t>
  </si>
  <si>
    <t>Hub thickness near flange</t>
  </si>
  <si>
    <t>Tolerance</t>
  </si>
  <si>
    <t>c1</t>
  </si>
  <si>
    <t>(Dehnschrauben S = 1.5 else S = 1.8)</t>
  </si>
  <si>
    <t>(Dehnschrauben S' = 1.1 else S = 1.3)</t>
  </si>
  <si>
    <t>Bolt diameter</t>
  </si>
  <si>
    <t>Bolt section area</t>
  </si>
  <si>
    <t>Auxiliary value</t>
  </si>
  <si>
    <t>Bolt force from meeting flange</t>
  </si>
  <si>
    <t>Fsb</t>
  </si>
  <si>
    <t>Bolt type description (optional)</t>
  </si>
  <si>
    <t>UNC threads per inch TEMA table D-5</t>
  </si>
  <si>
    <t>Gasket (See B7 table 1 and table 2)</t>
  </si>
  <si>
    <t>bd</t>
  </si>
  <si>
    <t>Number of grooves</t>
  </si>
  <si>
    <t>X</t>
  </si>
  <si>
    <t>(only if camprofile)</t>
  </si>
  <si>
    <t>Medium: Liquid or Gass/Vapor</t>
  </si>
  <si>
    <t>(0=Liquid, 1=Gass/Vapor)</t>
  </si>
  <si>
    <t>(0=user defined)</t>
  </si>
  <si>
    <t>Effective gasket width operating</t>
  </si>
  <si>
    <t>Effective gasket width test</t>
  </si>
  <si>
    <t>K1'</t>
  </si>
  <si>
    <t>Non metal gasket factor at 20°C</t>
  </si>
  <si>
    <t>k0KD</t>
  </si>
  <si>
    <t>Metal gasket B7 table 2: row index</t>
  </si>
  <si>
    <t>Metal gasket B7 table 2: material description</t>
  </si>
  <si>
    <t>User defined</t>
  </si>
  <si>
    <t>Metal gasket effective width</t>
  </si>
  <si>
    <t>Metal gasket design factor 20°C</t>
  </si>
  <si>
    <t>Metal gasket design factor at T</t>
  </si>
  <si>
    <t xml:space="preserve">Notes: </t>
  </si>
  <si>
    <t>1) use gasket number 0 for user defined gasket properties k1, k1' and  k0KD.</t>
  </si>
  <si>
    <t>2) use row index 0 for user defined metal gasket properties k0, KD and KDv.</t>
  </si>
  <si>
    <t>ADM B7/8</t>
  </si>
  <si>
    <t>1 of 2</t>
  </si>
  <si>
    <t>Corroded dimensions</t>
  </si>
  <si>
    <t>Bolt spacing: Bs = pi dt / n</t>
  </si>
  <si>
    <t>(Bs &lt;= Bsmax)</t>
  </si>
  <si>
    <t>Max. bolt spacing = 5 dL</t>
  </si>
  <si>
    <t>Bsmax</t>
  </si>
  <si>
    <t>B7: Bolt forces</t>
  </si>
  <si>
    <t>FSB = FRB + FFB + FDB</t>
  </si>
  <si>
    <t>FS(B,P)</t>
  </si>
  <si>
    <t xml:space="preserve"> N</t>
  </si>
  <si>
    <t>FRB = P pi di² / 4</t>
  </si>
  <si>
    <t>FR(B,P)</t>
  </si>
  <si>
    <t>FFB = P pi (dD² - di²) / 4</t>
  </si>
  <si>
    <t>FF(B,P)</t>
  </si>
  <si>
    <t>FDB = P pi dD SD k1  (SD = 1.2)</t>
  </si>
  <si>
    <t>FD(B,P)</t>
  </si>
  <si>
    <t>FDV = pi dD ko Kd</t>
  </si>
  <si>
    <t>FDV</t>
  </si>
  <si>
    <t>F*DV = 0.2 FDV + 0.8 sqr(FSB FDV)</t>
  </si>
  <si>
    <t>F*DV</t>
  </si>
  <si>
    <t xml:space="preserve">FDv = pi dD ko KDv  (note 1)     </t>
  </si>
  <si>
    <t>FDv (a)</t>
  </si>
  <si>
    <t>FDv = FDv sqr(X)  (if camprofile)</t>
  </si>
  <si>
    <t>FDv (b)</t>
  </si>
  <si>
    <t>B7: Bolt diameter</t>
  </si>
  <si>
    <t>Bolt core diameter</t>
  </si>
  <si>
    <t>dk or ds</t>
  </si>
  <si>
    <t>Z = sqr((4 S)/(pi Phi))</t>
  </si>
  <si>
    <t>Operating condition only</t>
  </si>
  <si>
    <t>c5</t>
  </si>
  <si>
    <t>dk or ds = Z sqr(F[SB, SP, DV] / (K[v,20] n) )</t>
  </si>
  <si>
    <t>Required bolt diameter</t>
  </si>
  <si>
    <t>dsmin</t>
  </si>
  <si>
    <t>B8: Flange</t>
  </si>
  <si>
    <t>dL' = v dL</t>
  </si>
  <si>
    <t>dL'</t>
  </si>
  <si>
    <t xml:space="preserve"> mm</t>
  </si>
  <si>
    <t xml:space="preserve">b = da - di - 2 dL'  </t>
  </si>
  <si>
    <t xml:space="preserve">sF' = Min(hF/3, sF) </t>
  </si>
  <si>
    <t>sF'</t>
  </si>
  <si>
    <t>Z = (di + sF') sF'²</t>
  </si>
  <si>
    <t xml:space="preserve"> mm³</t>
  </si>
  <si>
    <t>Z1 = 0.75 (di + s1) s1²</t>
  </si>
  <si>
    <t>Z1</t>
  </si>
  <si>
    <t>B8: Section AA</t>
  </si>
  <si>
    <t>a = (dt - di - sF') / 2</t>
  </si>
  <si>
    <t>aD = (dt - dD) / 2</t>
  </si>
  <si>
    <t xml:space="preserve">W = FSB S / K a </t>
  </si>
  <si>
    <t>W' = FDV S' / K20 aD</t>
  </si>
  <si>
    <t>W'</t>
  </si>
  <si>
    <t>Required thickness hF = sqr((1.27W-Z)/b)</t>
  </si>
  <si>
    <t>B8: Section BB</t>
  </si>
  <si>
    <t>a = (dt - di - s1) / 2</t>
  </si>
  <si>
    <t>Sm = (sF + s1) / 2</t>
  </si>
  <si>
    <t>Sm</t>
  </si>
  <si>
    <t>hA = h + hF</t>
  </si>
  <si>
    <t xml:space="preserve">B1 = (hA - hF) / hF </t>
  </si>
  <si>
    <t>B1</t>
  </si>
  <si>
    <t>B = ((1 + 2Sm/b B1) / ((1 + 2Sm/b) (B1² + 2B1)))</t>
  </si>
  <si>
    <t>Required thickness hF = B sqr((1.27W-Z1)/b)</t>
  </si>
  <si>
    <t xml:space="preserve"> mm </t>
  </si>
  <si>
    <t>Limits section BB 0.5 &lt;= (hA-hF) / hF &lt;= 1.0</t>
  </si>
  <si>
    <t>Limits section BB 0.1 &lt;= (s1+sF) / b &lt;= 0.3</t>
  </si>
  <si>
    <t>Required flange thickness: hF + c1 + c2</t>
  </si>
  <si>
    <t>Notes:</t>
  </si>
  <si>
    <t>1) FDv for metallic gaskets (a) and  camprofile gaskets (b)</t>
  </si>
  <si>
    <t>2) c5 = { 65 - Z sqr(FSB / (K n)) } / 15   with 1 mm &lt;= c5 &lt;= 3 mm (for Dehnschrauben c5 = 0)</t>
  </si>
  <si>
    <t>2 of 2</t>
  </si>
  <si>
    <t>Inside diameter = di+2*ca</t>
  </si>
  <si>
    <t>Flange thickness, corroded</t>
  </si>
  <si>
    <t>Cylindr. conn. thickness, corroded</t>
  </si>
  <si>
    <t>acc. B8 par. 2.3.1.1.</t>
  </si>
  <si>
    <t>acc. B7 par.6.1.2.3</t>
  </si>
  <si>
    <t>dBe</t>
  </si>
  <si>
    <t>phi = 0.75 for bolts with unmachined parallel contact surfaces, eyebolts and hinged bolts</t>
  </si>
  <si>
    <t>phi = 1 for bolts with machined or equivalent contact surfaces</t>
  </si>
  <si>
    <t>auxilary value phi acc B7 table 3</t>
  </si>
  <si>
    <t>acc. B7 par.6 and table 3</t>
  </si>
  <si>
    <t>normal bolts</t>
  </si>
  <si>
    <t>neckeddown bolts</t>
  </si>
  <si>
    <t>tensile str. bolts</t>
  </si>
  <si>
    <t>Z sqr(FSB] / (K n) ) =</t>
  </si>
  <si>
    <t>B = betrieb (operating/service) P = prüfung (testing)</t>
  </si>
  <si>
    <t>acc. DIN 931 or DIN 2509</t>
  </si>
  <si>
    <t>material with no yield point</t>
  </si>
  <si>
    <t>B7 table 3 safety factors for bolts</t>
  </si>
  <si>
    <t>calculated from root area (As)</t>
  </si>
  <si>
    <t>acc DIN 2510 schrauben mit dehnschaft</t>
  </si>
  <si>
    <t>acc. B7 table 3</t>
  </si>
  <si>
    <t>thickness of tapered hub acc par. 6.2.1 for calculation of Z</t>
  </si>
  <si>
    <t>acc. B8 par 6.2 eq. 5</t>
  </si>
  <si>
    <t>moment arm B8 eq. 7</t>
  </si>
  <si>
    <t>double width of flange acc. B8 par 6.2 eq. 3</t>
  </si>
  <si>
    <t>reduced bolt hole diameter acc. B8 fig. 3</t>
  </si>
  <si>
    <t>moment arm B8 eq. 8</t>
  </si>
  <si>
    <t>required section modulus B8 eq.  2</t>
  </si>
  <si>
    <t xml:space="preserve">required section modulus B8 eq. 1 </t>
  </si>
  <si>
    <t xml:space="preserve">W = FSB S a / K </t>
  </si>
  <si>
    <t xml:space="preserve">W' = FDV S' aD / K20 </t>
  </si>
  <si>
    <t>hubbed part is AA</t>
  </si>
  <si>
    <t>cylindrical part is BB</t>
  </si>
  <si>
    <t>acc. B8 par 6.2 eq. 4 note: this is another Z than one used in B7 !!!!</t>
  </si>
  <si>
    <t xml:space="preserve">acc. B7 par.6.1.2; minimum required bolt forces </t>
  </si>
  <si>
    <t>required thickness of flange acc B8 eq. 6 to satisfy section AA</t>
  </si>
  <si>
    <t>required thickness of flange acc B8 eq. 6 to satisfy section BB</t>
  </si>
  <si>
    <t>total length flange + hub see B8 fig 2</t>
  </si>
  <si>
    <t>ratio from B8 fig. 4</t>
  </si>
  <si>
    <t>B7 par. 6.2. eq. 14</t>
  </si>
  <si>
    <t>B8 eq.11</t>
  </si>
  <si>
    <t>B8 eq.10</t>
  </si>
  <si>
    <t>rohrkraft</t>
  </si>
  <si>
    <t>acc. B7 par.6.1.2.2 eq. 5</t>
  </si>
  <si>
    <t>this value of Fsb overrules minimum value ????</t>
  </si>
  <si>
    <t>if outside limits; use DIN 2505 !!</t>
  </si>
  <si>
    <t>piping</t>
  </si>
  <si>
    <t>vessels</t>
  </si>
  <si>
    <t>(Dehnschrauben S=1.5 else S=1.8)</t>
  </si>
  <si>
    <t>(Dehnschrauben S'=1.1 else S'=1.3)</t>
  </si>
  <si>
    <t>DIN 2505 table 2. safety factor Ss for bolts</t>
  </si>
  <si>
    <t>safety factor acc. DIN 2505 table 1.</t>
  </si>
  <si>
    <t>Mean gasket diameter = doB-bD</t>
  </si>
  <si>
    <t>hier blijft de flensdikte zonder corrosie</t>
  </si>
  <si>
    <t>Fz</t>
  </si>
  <si>
    <t>FRp</t>
  </si>
  <si>
    <t>FRz</t>
  </si>
  <si>
    <t>rohrkraft eq. 1</t>
  </si>
  <si>
    <t>FR = FRp + Fz</t>
  </si>
  <si>
    <t>FRz = Fz + 4 |Mz| / (di + sR)</t>
  </si>
  <si>
    <t>FR</t>
  </si>
  <si>
    <t>eq. 2</t>
  </si>
  <si>
    <t>ext. forces : kan nog verschillend zijn voor verschillende loadcases</t>
  </si>
  <si>
    <t>FF</t>
  </si>
  <si>
    <t>FF = p * pi/4 *(dD² - di²)</t>
  </si>
  <si>
    <t xml:space="preserve">FRp = p * pi/4 * di² </t>
  </si>
  <si>
    <t>ringflachenkraft eq. 3</t>
  </si>
  <si>
    <t>innendruckkraft eq. 4</t>
  </si>
  <si>
    <t>zusatzkraft</t>
  </si>
  <si>
    <t>Fi</t>
  </si>
  <si>
    <t>Fi = FRp+ FF = p pi/4 dD²</t>
  </si>
  <si>
    <t>dichtungskraft eq. 7</t>
  </si>
  <si>
    <t>Effective gasket width k1 = bD*m</t>
  </si>
  <si>
    <t>m = factor from DIN 2505 teil 2 (Cg in RTOD D0701)</t>
  </si>
  <si>
    <t>FD = p pi dD k1 SD</t>
  </si>
  <si>
    <t>FD</t>
  </si>
  <si>
    <t>Fi+FD</t>
  </si>
  <si>
    <t>FDV = pi dD k0 KD</t>
  </si>
  <si>
    <t>Liquid A = 0.1 Gas A = 0.2</t>
  </si>
  <si>
    <t>acc. B7 par. 6.1.2.2. eq. 6</t>
  </si>
  <si>
    <t>this is with A=0.2 compare with DIN 2505</t>
  </si>
  <si>
    <t>Fi + FD = FRP+FF+FD = the bolt force FSB</t>
  </si>
  <si>
    <t>FD'</t>
  </si>
  <si>
    <t>FD' = FDV' - Fi &gt; FD</t>
  </si>
  <si>
    <t>safety factor for operating uncertainty SD =1.2</t>
  </si>
  <si>
    <t>FDv</t>
  </si>
  <si>
    <t>FS0max = V FDV</t>
  </si>
  <si>
    <t>FS0max</t>
  </si>
  <si>
    <t>FDv = pi dD k0 cz FS0/FDV KDv</t>
  </si>
  <si>
    <t>FDact = FD + Fi &lt;= FDv</t>
  </si>
  <si>
    <t xml:space="preserve"> FDact</t>
  </si>
  <si>
    <t>If Non Metallic and FDV &gt; Pi+PD</t>
  </si>
  <si>
    <t>par. 4.5.1. eq. 14b</t>
  </si>
  <si>
    <t>liquid (water)</t>
  </si>
  <si>
    <t>gas/vapour other</t>
  </si>
  <si>
    <t>FDV' = A FDV + (1-A) sqr((Fi+FD) FDV)</t>
  </si>
  <si>
    <t>dichtungskraft eq. 6; minimale voorvervormingskracht</t>
  </si>
  <si>
    <t>Paragraph 4.5: Low pressure sealing force</t>
  </si>
  <si>
    <t>par.4.4. eq.8; minimaal benodigde kracht</t>
  </si>
  <si>
    <t>par. 4.5 factor y  en z</t>
  </si>
  <si>
    <t>FS</t>
  </si>
  <si>
    <t>FS = FRp + FRz + FF + FD</t>
  </si>
  <si>
    <t>FS' = crt FS</t>
  </si>
  <si>
    <t>FS'</t>
  </si>
  <si>
    <t>FS0=Max[FSB',FSV',FSP',FSx)</t>
  </si>
  <si>
    <t>FS0</t>
  </si>
  <si>
    <t xml:space="preserve">Operating </t>
  </si>
  <si>
    <t>Operating = Betrieb; Seating = Einbau; Testing = Prüfung</t>
  </si>
  <si>
    <t>factoren voor zetten van de bolts</t>
  </si>
  <si>
    <t>par.5.1 eq. 23</t>
  </si>
  <si>
    <t>par. 5.1 eq.24</t>
  </si>
  <si>
    <t>par. 5.1 eq.25</t>
  </si>
  <si>
    <t>Sealing force FDB, FDV, FDP</t>
  </si>
  <si>
    <t>par. 5.1 eq.21</t>
  </si>
  <si>
    <t>M0 = FS0 aD</t>
  </si>
  <si>
    <t>M1 = FR aR + FF aF + FD aD</t>
  </si>
  <si>
    <t>MC = FS a1</t>
  </si>
  <si>
    <t>par. 5.1 eq.22</t>
  </si>
  <si>
    <t>par. 5.1 eq.38</t>
  </si>
  <si>
    <t>design bolt force, gasket seating</t>
  </si>
  <si>
    <t>par. 4.5. eq. 11 = required bolt force</t>
  </si>
  <si>
    <t>AA = hub cross-section</t>
  </si>
  <si>
    <t>CC= flensblad cross section</t>
  </si>
  <si>
    <t>BB = cylinder cross-section</t>
  </si>
  <si>
    <t>hS</t>
  </si>
  <si>
    <t>Flange req. thickness for shear</t>
  </si>
  <si>
    <t>deze paragraaf niet in DIN 2505 uitgave jan 1986; is dit uitgave 1990 ?</t>
  </si>
  <si>
    <t>par. 5.2.1 eq.36 and 37</t>
  </si>
  <si>
    <t>Wcc = pi/4 (hF² (da - 2dL')-hs²(di+2sF))</t>
  </si>
  <si>
    <t>hS = (2 FS)/ ( pi (di+2 sF) *K/S)</t>
  </si>
  <si>
    <t>Compatibility Report for Flens berekening.xls</t>
  </si>
  <si>
    <t>Run on 2-9-2014 10:49</t>
  </si>
  <si>
    <t>The following features in this workbook are not supported by earlier versions of Excel. These features may be lost or degraded when opening this workbook in an earlier version of Excel or if you save this workbook in an earlier file format.</t>
  </si>
  <si>
    <t>Minor loss of fidelity</t>
  </si>
  <si>
    <t># of occurrences</t>
  </si>
  <si>
    <t>Version</t>
  </si>
  <si>
    <t>Some formulas in this workbook are linked to other workbooks that are closed. When these formulas are recalculated in earlier versions of Excel without opening the linked workbooks, characters beyond the 255-character limit cannot be returned.</t>
  </si>
  <si>
    <t>Excel 97-2003</t>
  </si>
  <si>
    <t>1
Defined Names</t>
  </si>
  <si>
    <t>P245GH</t>
  </si>
  <si>
    <t>check bolt distances acc. TEMA</t>
  </si>
  <si>
    <t>Emin</t>
  </si>
  <si>
    <t>Rmin</t>
  </si>
  <si>
    <t>size</t>
  </si>
  <si>
    <t>s</t>
  </si>
  <si>
    <t>sleutelwijdte</t>
  </si>
  <si>
    <t>hub to bolt</t>
  </si>
  <si>
    <t>bolt to edge</t>
  </si>
  <si>
    <t>spacing</t>
  </si>
  <si>
    <t>TEMA 9th ed. data</t>
  </si>
  <si>
    <t>Rh</t>
  </si>
  <si>
    <t>Rr</t>
  </si>
  <si>
    <t>hub to weld</t>
  </si>
  <si>
    <t>across  flats</t>
  </si>
  <si>
    <t>rootarea</t>
  </si>
  <si>
    <t>M72x6</t>
  </si>
  <si>
    <t>TEMA:</t>
  </si>
  <si>
    <t>sq. in</t>
  </si>
  <si>
    <t>in</t>
  </si>
  <si>
    <t>SA-965 F316L</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</si>
</sst>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0.0"/>
    <numFmt numFmtId="165" formatCode="0.0000"/>
    <numFmt numFmtId="166" formatCode="0.000E+00"/>
    <numFmt numFmtId="167" formatCode="0.000"/>
    <numFmt numFmtId="168" formatCode="d/mmm/yyyy"/>
    <numFmt numFmtId="169" formatCode="d/mmm/yy\ hh:mm:ss"/>
    <numFmt numFmtId="170" formatCode="0.000000_)"/>
    <numFmt numFmtId="171" formatCode="0.00000"/>
    <numFmt numFmtId="172" formatCode="dd/mmm/yy\ hh:mm:ss"/>
  </numFmts>
  <fonts count="70">
    <font>
      <sz val="10"/>
      <name val="Arial"/>
    </font>
    <font>
      <sz val="10"/>
      <name val="Arial"/>
    </font>
    <font>
      <b/>
      <sz val="14"/>
      <name val="Arial"/>
      <family val="2"/>
    </font>
    <font>
      <sz val="12"/>
      <name val="Arial"/>
      <family val="2"/>
    </font>
    <font>
      <sz val="10"/>
      <name val="Arial"/>
      <family val="2"/>
    </font>
    <font>
      <sz val="14"/>
      <name val="Arial"/>
    </font>
    <font>
      <sz val="10"/>
      <color indexed="12"/>
      <name val="Arial"/>
    </font>
    <font>
      <sz val="8"/>
      <name val="Arial"/>
    </font>
    <font>
      <u/>
      <sz val="10"/>
      <name val="Arial"/>
    </font>
    <font>
      <b/>
      <sz val="10"/>
      <name val="Arial"/>
      <family val="2"/>
    </font>
    <font>
      <i/>
      <sz val="10"/>
      <name val="Arial"/>
      <family val="2"/>
    </font>
    <font>
      <sz val="10"/>
      <color indexed="55"/>
      <name val="Arial"/>
    </font>
    <font>
      <sz val="12"/>
      <name val="Times New Roman"/>
      <family val="1"/>
    </font>
    <font>
      <sz val="10"/>
      <name val="Book Antiqua"/>
      <family val="1"/>
    </font>
    <font>
      <sz val="12"/>
      <name val="Arial"/>
    </font>
    <font>
      <b/>
      <u/>
      <sz val="10"/>
      <name val="Arial"/>
      <family val="2"/>
    </font>
    <font>
      <b/>
      <sz val="8"/>
      <name val="Arial"/>
    </font>
    <font>
      <sz val="8"/>
      <color indexed="12"/>
      <name val="Arial"/>
    </font>
    <font>
      <sz val="8"/>
      <color indexed="22"/>
      <name val="Arial"/>
    </font>
    <font>
      <sz val="8"/>
      <color indexed="17"/>
      <name val="Arial"/>
      <family val="2"/>
    </font>
    <font>
      <sz val="8"/>
      <color indexed="17"/>
      <name val="Arial"/>
    </font>
    <font>
      <sz val="11"/>
      <color indexed="8"/>
      <name val="Calibri"/>
      <family val="2"/>
    </font>
    <font>
      <sz val="11"/>
      <color indexed="9"/>
      <name val="Calibri"/>
      <family val="2"/>
    </font>
    <font>
      <sz val="11"/>
      <color indexed="20"/>
      <name val="Calibri"/>
      <family val="2"/>
    </font>
    <font>
      <b/>
      <sz val="11"/>
      <color indexed="10"/>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10"/>
      <name val="Calibri"/>
      <family val="2"/>
    </font>
    <font>
      <sz val="11"/>
      <color indexed="19"/>
      <name val="Calibri"/>
      <family val="2"/>
    </font>
    <font>
      <b/>
      <sz val="11"/>
      <color indexed="63"/>
      <name val="Calibri"/>
      <family val="2"/>
    </font>
    <font>
      <b/>
      <sz val="18"/>
      <color indexed="62"/>
      <name val="Cambria"/>
      <family val="2"/>
    </font>
    <font>
      <b/>
      <sz val="11"/>
      <color indexed="8"/>
      <name val="Calibri"/>
      <family val="2"/>
    </font>
    <font>
      <b/>
      <sz val="16"/>
      <name val="Arial"/>
      <family val="2"/>
    </font>
    <font>
      <b/>
      <sz val="12"/>
      <name val="Arial"/>
      <family val="2"/>
    </font>
    <font>
      <b/>
      <sz val="10"/>
      <name val="Arial"/>
    </font>
    <font>
      <b/>
      <sz val="10"/>
      <name val="Times New Roman"/>
    </font>
    <font>
      <b/>
      <sz val="10"/>
      <name val="Times New Roman"/>
      <family val="1"/>
    </font>
    <font>
      <sz val="10"/>
      <name val="Times New Roman"/>
    </font>
    <font>
      <sz val="10"/>
      <color indexed="10"/>
      <name val="Arial"/>
      <family val="2"/>
    </font>
    <font>
      <sz val="8"/>
      <color indexed="10"/>
      <name val="Times New Roman"/>
      <family val="1"/>
    </font>
    <font>
      <sz val="10"/>
      <color indexed="10"/>
      <name val="Times New Roman"/>
      <family val="1"/>
    </font>
    <font>
      <sz val="10"/>
      <color indexed="10"/>
      <name val="Times New Roman"/>
    </font>
    <font>
      <sz val="10"/>
      <color indexed="10"/>
      <name val="Arial"/>
    </font>
    <font>
      <sz val="10"/>
      <color indexed="22"/>
      <name val="Arial"/>
    </font>
    <font>
      <sz val="12"/>
      <color indexed="55"/>
      <name val="Times New Roman"/>
      <family val="1"/>
    </font>
    <font>
      <sz val="8"/>
      <color indexed="55"/>
      <name val="Arial"/>
    </font>
    <font>
      <b/>
      <sz val="8"/>
      <name val="Symbol"/>
      <charset val="2"/>
    </font>
    <font>
      <b/>
      <sz val="8"/>
      <name val="Arial"/>
      <family val="2"/>
    </font>
    <font>
      <sz val="8"/>
      <color indexed="23"/>
      <name val="Arial"/>
    </font>
    <font>
      <sz val="8"/>
      <color indexed="10"/>
      <name val="Arial"/>
    </font>
    <font>
      <b/>
      <sz val="8"/>
      <color indexed="10"/>
      <name val="Arial"/>
    </font>
    <font>
      <b/>
      <u/>
      <sz val="8"/>
      <name val="Arial"/>
    </font>
    <font>
      <b/>
      <sz val="8"/>
      <color indexed="55"/>
      <name val="Arial"/>
    </font>
    <font>
      <sz val="8"/>
      <name val="Arial"/>
      <family val="2"/>
    </font>
    <font>
      <b/>
      <sz val="8"/>
      <color indexed="17"/>
      <name val="Arial"/>
    </font>
    <font>
      <b/>
      <sz val="8"/>
      <color indexed="17"/>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10"/>
      <color rgb="FF000000"/>
      <name val="Arial"/>
      <family val="2"/>
    </font>
    <font>
      <sz val="8"/>
      <color indexed="12"/>
      <name val="Arial"/>
      <family val="2"/>
    </font>
    <font>
      <sz val="8"/>
      <color rgb="FF00B050"/>
      <name val="Arial"/>
      <family val="2"/>
    </font>
    <font>
      <sz val="10"/>
      <name val="Times New Roman"/>
      <family val="1"/>
    </font>
    <font>
      <sz val="10"/>
      <color indexed="12"/>
      <name val="Arial"/>
      <family val="2"/>
    </font>
  </fonts>
  <fills count="21">
    <fill>
      <patternFill patternType="none"/>
    </fill>
    <fill>
      <patternFill patternType="gray125"/>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
      <patternFill patternType="solid">
        <fgColor indexed="9"/>
      </patternFill>
    </fill>
    <fill>
      <patternFill patternType="solid">
        <fgColor indexed="55"/>
      </patternFill>
    </fill>
    <fill>
      <patternFill patternType="solid">
        <fgColor indexed="42"/>
        <bgColor indexed="64"/>
      </patternFill>
    </fill>
    <fill>
      <patternFill patternType="solid">
        <fgColor indexed="22"/>
        <bgColor indexed="64"/>
      </patternFill>
    </fill>
    <fill>
      <patternFill patternType="gray0625"/>
    </fill>
  </fills>
  <borders count="13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6"/>
      </top>
      <bottom style="double">
        <color indexed="56"/>
      </bottom>
      <diagonal/>
    </border>
    <border>
      <left style="thin">
        <color indexed="8"/>
      </left>
      <right/>
      <top/>
      <bottom/>
      <diagonal/>
    </border>
    <border>
      <left style="thin">
        <color indexed="8"/>
      </left>
      <right/>
      <top/>
      <bottom style="thin">
        <color indexed="8"/>
      </bottom>
      <diagonal/>
    </border>
    <border>
      <left/>
      <right/>
      <top/>
      <bottom style="thin">
        <color indexed="8"/>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style="thin">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bottom style="hair">
        <color indexed="64"/>
      </bottom>
      <diagonal/>
    </border>
    <border>
      <left/>
      <right style="medium">
        <color indexed="64"/>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medium">
        <color indexed="64"/>
      </right>
      <top style="thin">
        <color indexed="64"/>
      </top>
      <bottom style="hair">
        <color indexed="64"/>
      </bottom>
      <diagonal/>
    </border>
    <border>
      <left style="medium">
        <color indexed="64"/>
      </left>
      <right/>
      <top/>
      <bottom/>
      <diagonal/>
    </border>
    <border>
      <left/>
      <right style="medium">
        <color indexed="64"/>
      </right>
      <top/>
      <bottom/>
      <diagonal/>
    </border>
    <border>
      <left style="medium">
        <color indexed="64"/>
      </left>
      <right/>
      <top style="hair">
        <color indexed="64"/>
      </top>
      <bottom/>
      <diagonal/>
    </border>
    <border>
      <left style="thin">
        <color indexed="64"/>
      </left>
      <right/>
      <top style="hair">
        <color indexed="64"/>
      </top>
      <bottom/>
      <diagonal/>
    </border>
    <border>
      <left/>
      <right/>
      <top style="hair">
        <color indexed="64"/>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medium">
        <color indexed="64"/>
      </bottom>
      <diagonal/>
    </border>
    <border>
      <left style="medium">
        <color indexed="22"/>
      </left>
      <right style="medium">
        <color indexed="22"/>
      </right>
      <top style="medium">
        <color indexed="22"/>
      </top>
      <bottom/>
      <diagonal/>
    </border>
    <border>
      <left style="medium">
        <color indexed="22"/>
      </left>
      <right/>
      <top style="medium">
        <color indexed="22"/>
      </top>
      <bottom style="medium">
        <color indexed="22"/>
      </bottom>
      <diagonal/>
    </border>
    <border>
      <left/>
      <right/>
      <top style="medium">
        <color indexed="22"/>
      </top>
      <bottom style="medium">
        <color indexed="22"/>
      </bottom>
      <diagonal/>
    </border>
    <border>
      <left/>
      <right style="medium">
        <color indexed="22"/>
      </right>
      <top style="medium">
        <color indexed="22"/>
      </top>
      <bottom style="medium">
        <color indexed="22"/>
      </bottom>
      <diagonal/>
    </border>
    <border>
      <left style="medium">
        <color indexed="22"/>
      </left>
      <right style="medium">
        <color indexed="22"/>
      </right>
      <top style="medium">
        <color indexed="22"/>
      </top>
      <bottom style="medium">
        <color indexed="22"/>
      </bottom>
      <diagonal/>
    </border>
    <border>
      <left style="medium">
        <color indexed="22"/>
      </left>
      <right style="medium">
        <color indexed="22"/>
      </right>
      <top/>
      <bottom/>
      <diagonal/>
    </border>
    <border>
      <left style="medium">
        <color indexed="22"/>
      </left>
      <right/>
      <top style="medium">
        <color indexed="22"/>
      </top>
      <bottom/>
      <diagonal/>
    </border>
    <border>
      <left/>
      <right style="medium">
        <color indexed="22"/>
      </right>
      <top style="medium">
        <color indexed="22"/>
      </top>
      <bottom/>
      <diagonal/>
    </border>
    <border>
      <left style="medium">
        <color indexed="22"/>
      </left>
      <right/>
      <top/>
      <bottom/>
      <diagonal/>
    </border>
    <border>
      <left/>
      <right style="medium">
        <color indexed="22"/>
      </right>
      <top/>
      <bottom/>
      <diagonal/>
    </border>
    <border>
      <left style="thin">
        <color indexed="22"/>
      </left>
      <right/>
      <top/>
      <bottom/>
      <diagonal/>
    </border>
    <border>
      <left style="thin">
        <color indexed="22"/>
      </left>
      <right style="medium">
        <color indexed="22"/>
      </right>
      <top/>
      <bottom/>
      <diagonal/>
    </border>
    <border>
      <left style="medium">
        <color indexed="22"/>
      </left>
      <right style="medium">
        <color indexed="22"/>
      </right>
      <top/>
      <bottom style="medium">
        <color indexed="22"/>
      </bottom>
      <diagonal/>
    </border>
    <border>
      <left style="medium">
        <color indexed="22"/>
      </left>
      <right/>
      <top/>
      <bottom style="medium">
        <color indexed="22"/>
      </bottom>
      <diagonal/>
    </border>
    <border>
      <left/>
      <right style="medium">
        <color indexed="22"/>
      </right>
      <top/>
      <bottom style="medium">
        <color indexed="22"/>
      </bottom>
      <diagonal/>
    </border>
    <border>
      <left style="thin">
        <color indexed="22"/>
      </left>
      <right/>
      <top/>
      <bottom style="medium">
        <color indexed="22"/>
      </bottom>
      <diagonal/>
    </border>
    <border>
      <left style="thin">
        <color indexed="22"/>
      </left>
      <right style="medium">
        <color indexed="22"/>
      </right>
      <top/>
      <bottom style="medium">
        <color indexed="22"/>
      </bottom>
      <diagonal/>
    </border>
    <border>
      <left style="medium">
        <color indexed="22"/>
      </left>
      <right/>
      <top/>
      <bottom style="thin">
        <color indexed="22"/>
      </bottom>
      <diagonal/>
    </border>
    <border>
      <left style="thin">
        <color indexed="22"/>
      </left>
      <right/>
      <top/>
      <bottom style="thin">
        <color indexed="22"/>
      </bottom>
      <diagonal/>
    </border>
    <border>
      <left style="thin">
        <color indexed="22"/>
      </left>
      <right style="medium">
        <color indexed="22"/>
      </right>
      <top/>
      <bottom style="thin">
        <color indexed="22"/>
      </bottom>
      <diagonal/>
    </border>
    <border>
      <left style="medium">
        <color indexed="22"/>
      </left>
      <right/>
      <top style="thin">
        <color indexed="64"/>
      </top>
      <bottom style="thin">
        <color indexed="64"/>
      </bottom>
      <diagonal/>
    </border>
    <border>
      <left style="thin">
        <color indexed="22"/>
      </left>
      <right/>
      <top style="thin">
        <color indexed="64"/>
      </top>
      <bottom style="thin">
        <color indexed="64"/>
      </bottom>
      <diagonal/>
    </border>
    <border>
      <left style="thin">
        <color indexed="22"/>
      </left>
      <right style="medium">
        <color indexed="22"/>
      </right>
      <top style="thin">
        <color indexed="64"/>
      </top>
      <bottom style="thin">
        <color indexed="64"/>
      </bottom>
      <diagonal/>
    </border>
    <border>
      <left style="thin">
        <color indexed="22"/>
      </left>
      <right/>
      <top style="medium">
        <color indexed="22"/>
      </top>
      <bottom/>
      <diagonal/>
    </border>
    <border>
      <left style="thin">
        <color indexed="22"/>
      </left>
      <right style="medium">
        <color indexed="22"/>
      </right>
      <top style="medium">
        <color indexed="22"/>
      </top>
      <bottom/>
      <diagonal/>
    </border>
    <border>
      <left/>
      <right/>
      <top style="thin">
        <color indexed="64"/>
      </top>
      <bottom/>
      <diagonal/>
    </border>
    <border>
      <left style="thin">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medium">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thin">
        <color indexed="64"/>
      </left>
      <right/>
      <top/>
      <bottom style="medium">
        <color indexed="64"/>
      </bottom>
      <diagonal/>
    </border>
    <border>
      <left style="thin">
        <color indexed="64"/>
      </left>
      <right style="medium">
        <color indexed="64"/>
      </right>
      <top style="hair">
        <color indexed="64"/>
      </top>
      <bottom style="hair">
        <color indexed="64"/>
      </bottom>
      <diagonal/>
    </border>
    <border>
      <left style="thin">
        <color indexed="64"/>
      </left>
      <right style="medium">
        <color indexed="64"/>
      </right>
      <top style="thin">
        <color indexed="64"/>
      </top>
      <bottom style="hair">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hair">
        <color indexed="64"/>
      </right>
      <top style="hair">
        <color indexed="64"/>
      </top>
      <bottom style="hair">
        <color indexed="64"/>
      </bottom>
      <diagonal/>
    </border>
    <border>
      <left/>
      <right style="hair">
        <color indexed="64"/>
      </right>
      <top style="hair">
        <color indexed="64"/>
      </top>
      <bottom style="medium">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medium">
        <color indexed="64"/>
      </bottom>
      <diagonal/>
    </border>
    <border>
      <left/>
      <right style="thin">
        <color indexed="64"/>
      </right>
      <top/>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bottom style="hair">
        <color indexed="64"/>
      </bottom>
      <diagonal/>
    </border>
    <border>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medium">
        <color indexed="64"/>
      </bottom>
      <diagonal/>
    </border>
    <border>
      <left/>
      <right style="thin">
        <color indexed="64"/>
      </right>
      <top style="hair">
        <color indexed="64"/>
      </top>
      <bottom/>
      <diagonal/>
    </border>
    <border>
      <left style="thin">
        <color indexed="64"/>
      </left>
      <right style="medium">
        <color indexed="64"/>
      </right>
      <top style="hair">
        <color indexed="64"/>
      </top>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thin">
        <color indexed="64"/>
      </left>
      <right style="medium">
        <color indexed="64"/>
      </right>
      <top/>
      <bottom/>
      <diagonal/>
    </border>
    <border>
      <left/>
      <right style="medium">
        <color indexed="64"/>
      </right>
      <top style="hair">
        <color indexed="64"/>
      </top>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hair">
        <color indexed="64"/>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bottom/>
      <diagonal/>
    </border>
    <border>
      <left style="medium">
        <color indexed="8"/>
      </left>
      <right/>
      <top style="medium">
        <color indexed="8"/>
      </top>
      <bottom style="medium">
        <color indexed="8"/>
      </bottom>
      <diagonal/>
    </border>
    <border>
      <left/>
      <right/>
      <top style="medium">
        <color indexed="8"/>
      </top>
      <bottom style="medium">
        <color indexed="8"/>
      </bottom>
      <diagonal/>
    </border>
    <border>
      <left/>
      <right style="medium">
        <color indexed="8"/>
      </right>
      <top style="medium">
        <color indexed="8"/>
      </top>
      <bottom style="medium">
        <color indexed="8"/>
      </bottom>
      <diagonal/>
    </border>
  </borders>
  <cellStyleXfs count="44">
    <xf numFmtId="0" fontId="0" fillId="0" borderId="0"/>
    <xf numFmtId="0" fontId="21" fillId="2" borderId="0" applyNumberFormat="0" applyBorder="0" applyAlignment="0" applyProtection="0"/>
    <xf numFmtId="0" fontId="21" fillId="3" borderId="0" applyNumberFormat="0" applyBorder="0" applyAlignment="0" applyProtection="0"/>
    <xf numFmtId="0" fontId="21" fillId="4" borderId="0" applyNumberFormat="0" applyBorder="0" applyAlignment="0" applyProtection="0"/>
    <xf numFmtId="0" fontId="21" fillId="5" borderId="0" applyNumberFormat="0" applyBorder="0" applyAlignment="0" applyProtection="0"/>
    <xf numFmtId="0" fontId="21" fillId="6" borderId="0" applyNumberFormat="0" applyBorder="0" applyAlignment="0" applyProtection="0"/>
    <xf numFmtId="0" fontId="21" fillId="4" borderId="0" applyNumberFormat="0" applyBorder="0" applyAlignment="0" applyProtection="0"/>
    <xf numFmtId="0" fontId="21" fillId="6" borderId="0" applyNumberFormat="0" applyBorder="0" applyAlignment="0" applyProtection="0"/>
    <xf numFmtId="0" fontId="21" fillId="3" borderId="0" applyNumberFormat="0" applyBorder="0" applyAlignment="0" applyProtection="0"/>
    <xf numFmtId="0" fontId="21" fillId="7" borderId="0" applyNumberFormat="0" applyBorder="0" applyAlignment="0" applyProtection="0"/>
    <xf numFmtId="0" fontId="21" fillId="8" borderId="0" applyNumberFormat="0" applyBorder="0" applyAlignment="0" applyProtection="0"/>
    <xf numFmtId="0" fontId="21" fillId="6" borderId="0" applyNumberFormat="0" applyBorder="0" applyAlignment="0" applyProtection="0"/>
    <xf numFmtId="0" fontId="21" fillId="4" borderId="0" applyNumberFormat="0" applyBorder="0" applyAlignment="0" applyProtection="0"/>
    <xf numFmtId="0" fontId="22" fillId="6" borderId="0" applyNumberFormat="0" applyBorder="0" applyAlignment="0" applyProtection="0"/>
    <xf numFmtId="0" fontId="22" fillId="9" borderId="0" applyNumberFormat="0" applyBorder="0" applyAlignment="0" applyProtection="0"/>
    <xf numFmtId="0" fontId="22" fillId="10" borderId="0" applyNumberFormat="0" applyBorder="0" applyAlignment="0" applyProtection="0"/>
    <xf numFmtId="0" fontId="22" fillId="8" borderId="0" applyNumberFormat="0" applyBorder="0" applyAlignment="0" applyProtection="0"/>
    <xf numFmtId="0" fontId="22" fillId="6" borderId="0" applyNumberFormat="0" applyBorder="0" applyAlignment="0" applyProtection="0"/>
    <xf numFmtId="0" fontId="22" fillId="3" borderId="0" applyNumberFormat="0" applyBorder="0" applyAlignment="0" applyProtection="0"/>
    <xf numFmtId="0" fontId="22" fillId="11" borderId="0" applyNumberFormat="0" applyBorder="0" applyAlignment="0" applyProtection="0"/>
    <xf numFmtId="0" fontId="22" fillId="9" borderId="0" applyNumberFormat="0" applyBorder="0" applyAlignment="0" applyProtection="0"/>
    <xf numFmtId="0" fontId="22" fillId="10" borderId="0" applyNumberFormat="0" applyBorder="0" applyAlignment="0" applyProtection="0"/>
    <xf numFmtId="0" fontId="22" fillId="12" borderId="0" applyNumberFormat="0" applyBorder="0" applyAlignment="0" applyProtection="0"/>
    <xf numFmtId="0" fontId="22" fillId="13" borderId="0" applyNumberFormat="0" applyBorder="0" applyAlignment="0" applyProtection="0"/>
    <xf numFmtId="0" fontId="22" fillId="14" borderId="0" applyNumberFormat="0" applyBorder="0" applyAlignment="0" applyProtection="0"/>
    <xf numFmtId="0" fontId="23" fillId="15" borderId="0" applyNumberFormat="0" applyBorder="0" applyAlignment="0" applyProtection="0"/>
    <xf numFmtId="0" fontId="24" fillId="16" borderId="1" applyNumberFormat="0" applyAlignment="0" applyProtection="0"/>
    <xf numFmtId="0" fontId="25" fillId="17" borderId="2" applyNumberFormat="0" applyAlignment="0" applyProtection="0"/>
    <xf numFmtId="0" fontId="26" fillId="0" borderId="0" applyNumberFormat="0" applyFill="0" applyBorder="0" applyAlignment="0" applyProtection="0"/>
    <xf numFmtId="0" fontId="27" fillId="6" borderId="0" applyNumberFormat="0" applyBorder="0" applyAlignment="0" applyProtection="0"/>
    <xf numFmtId="0" fontId="28" fillId="0" borderId="3" applyNumberFormat="0" applyFill="0" applyAlignment="0" applyProtection="0"/>
    <xf numFmtId="0" fontId="29" fillId="0" borderId="4" applyNumberFormat="0" applyFill="0" applyAlignment="0" applyProtection="0"/>
    <xf numFmtId="0" fontId="30" fillId="0" borderId="5" applyNumberFormat="0" applyFill="0" applyAlignment="0" applyProtection="0"/>
    <xf numFmtId="0" fontId="30" fillId="0" borderId="0" applyNumberFormat="0" applyFill="0" applyBorder="0" applyAlignment="0" applyProtection="0"/>
    <xf numFmtId="0" fontId="31" fillId="7" borderId="1" applyNumberFormat="0" applyAlignment="0" applyProtection="0"/>
    <xf numFmtId="0" fontId="32" fillId="0" borderId="6" applyNumberFormat="0" applyFill="0" applyAlignment="0" applyProtection="0"/>
    <xf numFmtId="0" fontId="33" fillId="7" borderId="0" applyNumberFormat="0" applyBorder="0" applyAlignment="0" applyProtection="0"/>
    <xf numFmtId="0" fontId="7" fillId="0" borderId="0"/>
    <xf numFmtId="0" fontId="7" fillId="0" borderId="0"/>
    <xf numFmtId="0" fontId="1" fillId="4" borderId="7" applyNumberFormat="0" applyFont="0" applyAlignment="0" applyProtection="0"/>
    <xf numFmtId="0" fontId="34" fillId="16" borderId="8" applyNumberFormat="0" applyAlignment="0" applyProtection="0"/>
    <xf numFmtId="0" fontId="35" fillId="0" borderId="0" applyNumberFormat="0" applyFill="0" applyBorder="0" applyAlignment="0" applyProtection="0"/>
    <xf numFmtId="0" fontId="36" fillId="0" borderId="9" applyNumberFormat="0" applyFill="0" applyAlignment="0" applyProtection="0"/>
    <xf numFmtId="0" fontId="32" fillId="0" borderId="0" applyNumberFormat="0" applyFill="0" applyBorder="0" applyAlignment="0" applyProtection="0"/>
  </cellStyleXfs>
  <cellXfs count="1114">
    <xf numFmtId="0" fontId="0" fillId="0" borderId="0" xfId="0"/>
    <xf numFmtId="0" fontId="2" fillId="0" borderId="0" xfId="0" quotePrefix="1" applyFont="1" applyAlignment="1">
      <alignment horizontal="left"/>
    </xf>
    <xf numFmtId="0" fontId="0" fillId="0" borderId="10" xfId="0" applyBorder="1"/>
    <xf numFmtId="0" fontId="0" fillId="0" borderId="11" xfId="0" applyBorder="1"/>
    <xf numFmtId="0" fontId="0" fillId="0" borderId="12" xfId="0" applyBorder="1"/>
    <xf numFmtId="0" fontId="0" fillId="0" borderId="0" xfId="0" applyBorder="1"/>
    <xf numFmtId="0" fontId="3" fillId="0" borderId="13" xfId="0" applyFont="1" applyBorder="1"/>
    <xf numFmtId="0" fontId="3" fillId="0" borderId="13" xfId="0" quotePrefix="1" applyFont="1" applyBorder="1" applyAlignment="1">
      <alignment horizontal="left"/>
    </xf>
    <xf numFmtId="49" fontId="3" fillId="0" borderId="13" xfId="0" applyNumberFormat="1" applyFont="1" applyBorder="1"/>
    <xf numFmtId="3" fontId="0" fillId="0" borderId="0" xfId="0" applyNumberFormat="1"/>
    <xf numFmtId="0" fontId="5" fillId="0" borderId="0" xfId="0" applyFont="1"/>
    <xf numFmtId="0" fontId="6" fillId="0" borderId="0" xfId="0" applyFont="1"/>
    <xf numFmtId="0" fontId="0" fillId="0" borderId="0" xfId="0" quotePrefix="1"/>
    <xf numFmtId="0" fontId="8" fillId="0" borderId="0" xfId="0" applyFont="1"/>
    <xf numFmtId="2" fontId="0" fillId="0" borderId="0" xfId="0" applyNumberFormat="1"/>
    <xf numFmtId="3" fontId="9" fillId="0" borderId="0" xfId="0" applyNumberFormat="1" applyFont="1"/>
    <xf numFmtId="4" fontId="0" fillId="0" borderId="0" xfId="0" applyNumberFormat="1"/>
    <xf numFmtId="4" fontId="9" fillId="0" borderId="0" xfId="0" applyNumberFormat="1" applyFont="1"/>
    <xf numFmtId="0" fontId="0" fillId="0" borderId="14" xfId="0" applyBorder="1"/>
    <xf numFmtId="0" fontId="6" fillId="0" borderId="14" xfId="0" applyFont="1" applyBorder="1"/>
    <xf numFmtId="0" fontId="8" fillId="0" borderId="0" xfId="0" applyFont="1" applyBorder="1"/>
    <xf numFmtId="0" fontId="6" fillId="0" borderId="0" xfId="0" applyFont="1" applyBorder="1"/>
    <xf numFmtId="164" fontId="0" fillId="0" borderId="0" xfId="0" applyNumberFormat="1"/>
    <xf numFmtId="4" fontId="4" fillId="0" borderId="0" xfId="0" applyNumberFormat="1" applyFont="1"/>
    <xf numFmtId="164" fontId="4" fillId="0" borderId="0" xfId="0" applyNumberFormat="1" applyFont="1"/>
    <xf numFmtId="2" fontId="9" fillId="0" borderId="0" xfId="0" applyNumberFormat="1" applyFont="1"/>
    <xf numFmtId="165" fontId="0" fillId="0" borderId="0" xfId="0" applyNumberFormat="1"/>
    <xf numFmtId="165" fontId="4" fillId="0" borderId="0" xfId="0" applyNumberFormat="1" applyFont="1"/>
    <xf numFmtId="164" fontId="9" fillId="0" borderId="0" xfId="0" applyNumberFormat="1" applyFont="1"/>
    <xf numFmtId="10" fontId="0" fillId="0" borderId="0" xfId="0" applyNumberFormat="1"/>
    <xf numFmtId="0" fontId="10" fillId="0" borderId="0" xfId="0" applyFont="1"/>
    <xf numFmtId="165" fontId="0" fillId="18" borderId="0" xfId="0" applyNumberFormat="1" applyFill="1"/>
    <xf numFmtId="165" fontId="11" fillId="0" borderId="0" xfId="0" applyNumberFormat="1" applyFont="1"/>
    <xf numFmtId="0" fontId="11" fillId="0" borderId="0" xfId="0" applyFont="1"/>
    <xf numFmtId="0" fontId="0" fillId="0" borderId="0" xfId="0" applyAlignment="1">
      <alignment horizontal="center"/>
    </xf>
    <xf numFmtId="165" fontId="1" fillId="0" borderId="0" xfId="0" applyNumberFormat="1" applyFont="1"/>
    <xf numFmtId="0" fontId="1" fillId="0" borderId="0" xfId="0" applyFont="1"/>
    <xf numFmtId="0" fontId="11" fillId="0" borderId="0" xfId="0" applyFont="1" applyAlignment="1">
      <alignment horizontal="center"/>
    </xf>
    <xf numFmtId="0" fontId="12" fillId="0" borderId="0" xfId="0" applyFont="1"/>
    <xf numFmtId="165" fontId="8" fillId="0" borderId="0" xfId="0" applyNumberFormat="1" applyFont="1"/>
    <xf numFmtId="0" fontId="9" fillId="0" borderId="0" xfId="0" applyFont="1" applyAlignment="1">
      <alignment horizontal="center"/>
    </xf>
    <xf numFmtId="2" fontId="8" fillId="0" borderId="0" xfId="0" applyNumberFormat="1" applyFont="1" applyAlignment="1">
      <alignment horizontal="center"/>
    </xf>
    <xf numFmtId="0" fontId="8" fillId="0" borderId="0" xfId="0" applyFont="1" applyAlignment="1">
      <alignment horizontal="center"/>
    </xf>
    <xf numFmtId="10" fontId="10" fillId="0" borderId="0" xfId="0" applyNumberFormat="1" applyFont="1"/>
    <xf numFmtId="0" fontId="9" fillId="0" borderId="0" xfId="0" applyFont="1"/>
    <xf numFmtId="0" fontId="3" fillId="0" borderId="0" xfId="0" applyFont="1" applyBorder="1"/>
    <xf numFmtId="3" fontId="0" fillId="0" borderId="0" xfId="0" applyNumberFormat="1" applyBorder="1"/>
    <xf numFmtId="0" fontId="3" fillId="0" borderId="0" xfId="0" applyFont="1" applyBorder="1" applyAlignment="1">
      <alignment horizontal="left"/>
    </xf>
    <xf numFmtId="0" fontId="3" fillId="0" borderId="0" xfId="0" quotePrefix="1" applyFont="1" applyBorder="1"/>
    <xf numFmtId="164" fontId="0" fillId="0" borderId="0" xfId="0" applyNumberFormat="1" applyBorder="1" applyAlignment="1">
      <alignment horizontal="center"/>
    </xf>
    <xf numFmtId="2" fontId="0" fillId="0" borderId="0" xfId="0" applyNumberFormat="1" applyBorder="1" applyAlignment="1">
      <alignment horizontal="center"/>
    </xf>
    <xf numFmtId="0" fontId="0" fillId="0" borderId="0" xfId="0" applyBorder="1" applyAlignment="1">
      <alignment horizontal="center"/>
    </xf>
    <xf numFmtId="0" fontId="2" fillId="0" borderId="0" xfId="0" applyFont="1" applyBorder="1" applyAlignment="1">
      <alignment horizontal="left"/>
    </xf>
    <xf numFmtId="0" fontId="3" fillId="0" borderId="14" xfId="0" applyFont="1" applyBorder="1"/>
    <xf numFmtId="2" fontId="4" fillId="0" borderId="0" xfId="0" applyNumberFormat="1" applyFont="1" applyBorder="1" applyAlignment="1">
      <alignment horizontal="center"/>
    </xf>
    <xf numFmtId="164" fontId="4" fillId="0" borderId="0" xfId="0" applyNumberFormat="1" applyFont="1" applyBorder="1" applyAlignment="1">
      <alignment horizontal="center"/>
    </xf>
    <xf numFmtId="2" fontId="4" fillId="0" borderId="14" xfId="0" applyNumberFormat="1" applyFont="1" applyBorder="1" applyAlignment="1">
      <alignment horizontal="center"/>
    </xf>
    <xf numFmtId="164" fontId="4" fillId="0" borderId="14" xfId="0" applyNumberFormat="1" applyFont="1" applyBorder="1" applyAlignment="1">
      <alignment horizontal="center"/>
    </xf>
    <xf numFmtId="3" fontId="0" fillId="0" borderId="0" xfId="0" applyNumberFormat="1" applyFill="1" applyBorder="1"/>
    <xf numFmtId="0" fontId="3" fillId="0" borderId="0" xfId="0" applyFont="1" applyFill="1" applyBorder="1"/>
    <xf numFmtId="2" fontId="0" fillId="0" borderId="0" xfId="0" applyNumberFormat="1" applyFill="1" applyBorder="1" applyAlignment="1">
      <alignment horizontal="center"/>
    </xf>
    <xf numFmtId="0" fontId="3" fillId="0" borderId="14" xfId="0" applyFont="1" applyFill="1" applyBorder="1"/>
    <xf numFmtId="2" fontId="0" fillId="0" borderId="14" xfId="0" applyNumberFormat="1" applyFill="1" applyBorder="1" applyAlignment="1">
      <alignment horizontal="center"/>
    </xf>
    <xf numFmtId="164" fontId="0" fillId="0" borderId="14" xfId="0" applyNumberFormat="1" applyBorder="1" applyAlignment="1">
      <alignment horizontal="center"/>
    </xf>
    <xf numFmtId="164" fontId="0" fillId="0" borderId="0" xfId="0" applyNumberFormat="1" applyAlignment="1">
      <alignment horizontal="center"/>
    </xf>
    <xf numFmtId="0" fontId="3" fillId="0" borderId="15" xfId="0" applyFont="1" applyBorder="1"/>
    <xf numFmtId="2" fontId="4" fillId="0" borderId="15" xfId="0" applyNumberFormat="1" applyFont="1" applyBorder="1" applyAlignment="1">
      <alignment horizontal="center"/>
    </xf>
    <xf numFmtId="164" fontId="4" fillId="0" borderId="15" xfId="0" applyNumberFormat="1" applyFont="1" applyBorder="1" applyAlignment="1">
      <alignment horizontal="center"/>
    </xf>
    <xf numFmtId="0" fontId="0" fillId="0" borderId="15" xfId="0" applyBorder="1"/>
    <xf numFmtId="2" fontId="0" fillId="0" borderId="0" xfId="0" applyNumberFormat="1" applyAlignment="1">
      <alignment horizontal="center"/>
    </xf>
    <xf numFmtId="2" fontId="6" fillId="0" borderId="0" xfId="0" applyNumberFormat="1" applyFont="1"/>
    <xf numFmtId="2" fontId="8" fillId="0" borderId="0" xfId="0" applyNumberFormat="1" applyFont="1"/>
    <xf numFmtId="166" fontId="0" fillId="0" borderId="0" xfId="0" applyNumberFormat="1"/>
    <xf numFmtId="165" fontId="11" fillId="0" borderId="0" xfId="0" applyNumberFormat="1" applyFont="1" applyFill="1"/>
    <xf numFmtId="3" fontId="6" fillId="0" borderId="0" xfId="0" applyNumberFormat="1" applyFont="1"/>
    <xf numFmtId="0" fontId="11" fillId="0" borderId="0" xfId="0" applyFont="1" applyFill="1"/>
    <xf numFmtId="0" fontId="14" fillId="0" borderId="0" xfId="0" applyFont="1"/>
    <xf numFmtId="0" fontId="15" fillId="0" borderId="0" xfId="0" applyFont="1"/>
    <xf numFmtId="0" fontId="15" fillId="0" borderId="0" xfId="0" applyFont="1" applyBorder="1"/>
    <xf numFmtId="1" fontId="6" fillId="0" borderId="0" xfId="0" applyNumberFormat="1" applyFont="1"/>
    <xf numFmtId="0" fontId="16" fillId="0" borderId="16" xfId="37" applyFont="1" applyBorder="1" applyAlignment="1">
      <alignment horizontal="centerContinuous"/>
    </xf>
    <xf numFmtId="0" fontId="16" fillId="0" borderId="17" xfId="37" applyFont="1" applyBorder="1" applyAlignment="1">
      <alignment horizontal="centerContinuous"/>
    </xf>
    <xf numFmtId="0" fontId="16" fillId="0" borderId="18" xfId="37" applyFont="1" applyBorder="1" applyAlignment="1">
      <alignment horizontal="centerContinuous"/>
    </xf>
    <xf numFmtId="0" fontId="7" fillId="0" borderId="0" xfId="37"/>
    <xf numFmtId="0" fontId="16" fillId="0" borderId="19" xfId="37" applyFont="1" applyBorder="1" applyAlignment="1">
      <alignment horizontal="centerContinuous"/>
    </xf>
    <xf numFmtId="0" fontId="16" fillId="0" borderId="20" xfId="37" applyFont="1" applyBorder="1" applyAlignment="1">
      <alignment horizontal="centerContinuous"/>
    </xf>
    <xf numFmtId="0" fontId="16" fillId="0" borderId="21" xfId="37" applyFont="1" applyBorder="1" applyAlignment="1">
      <alignment horizontal="centerContinuous"/>
    </xf>
    <xf numFmtId="0" fontId="16" fillId="0" borderId="22" xfId="37" applyFont="1" applyBorder="1"/>
    <xf numFmtId="0" fontId="16" fillId="0" borderId="23" xfId="37" applyFont="1" applyBorder="1"/>
    <xf numFmtId="0" fontId="16" fillId="0" borderId="24" xfId="37" applyFont="1" applyBorder="1" applyAlignment="1">
      <alignment horizontal="right"/>
    </xf>
    <xf numFmtId="0" fontId="16" fillId="0" borderId="25" xfId="37" applyFont="1" applyBorder="1"/>
    <xf numFmtId="0" fontId="7" fillId="0" borderId="23" xfId="37" applyFont="1" applyBorder="1"/>
    <xf numFmtId="0" fontId="16" fillId="0" borderId="26" xfId="37" applyFont="1" applyBorder="1"/>
    <xf numFmtId="0" fontId="16" fillId="0" borderId="27" xfId="37" applyFont="1" applyBorder="1"/>
    <xf numFmtId="0" fontId="16" fillId="0" borderId="28" xfId="37" applyFont="1" applyBorder="1"/>
    <xf numFmtId="0" fontId="16" fillId="0" borderId="29" xfId="37" applyFont="1" applyBorder="1" applyAlignment="1">
      <alignment horizontal="right"/>
    </xf>
    <xf numFmtId="0" fontId="16" fillId="0" borderId="30" xfId="37" applyFont="1" applyBorder="1"/>
    <xf numFmtId="0" fontId="16" fillId="0" borderId="31" xfId="37" applyFont="1" applyBorder="1"/>
    <xf numFmtId="0" fontId="16" fillId="0" borderId="32" xfId="37" applyFont="1" applyBorder="1"/>
    <xf numFmtId="0" fontId="16" fillId="0" borderId="33" xfId="37" applyFont="1" applyBorder="1"/>
    <xf numFmtId="0" fontId="16" fillId="0" borderId="34" xfId="37" applyFont="1" applyBorder="1" applyAlignment="1">
      <alignment horizontal="right"/>
    </xf>
    <xf numFmtId="0" fontId="16" fillId="0" borderId="35" xfId="37" applyFont="1" applyBorder="1"/>
    <xf numFmtId="0" fontId="16" fillId="0" borderId="36" xfId="37" applyFont="1" applyBorder="1"/>
    <xf numFmtId="49" fontId="7" fillId="0" borderId="35" xfId="37" applyNumberFormat="1" applyFont="1" applyBorder="1" applyAlignment="1">
      <alignment horizontal="center"/>
    </xf>
    <xf numFmtId="0" fontId="7" fillId="0" borderId="33" xfId="37" applyFont="1" applyBorder="1"/>
    <xf numFmtId="0" fontId="7" fillId="0" borderId="35" xfId="37" applyFont="1" applyBorder="1"/>
    <xf numFmtId="0" fontId="7" fillId="0" borderId="36" xfId="37" applyFont="1" applyBorder="1"/>
    <xf numFmtId="0" fontId="16" fillId="0" borderId="37" xfId="37" applyFont="1" applyBorder="1"/>
    <xf numFmtId="0" fontId="16" fillId="0" borderId="38" xfId="37" applyFont="1" applyBorder="1"/>
    <xf numFmtId="0" fontId="16" fillId="0" borderId="39" xfId="37" applyFont="1" applyBorder="1" applyAlignment="1">
      <alignment horizontal="right"/>
    </xf>
    <xf numFmtId="0" fontId="7" fillId="0" borderId="40" xfId="37" applyFont="1" applyBorder="1"/>
    <xf numFmtId="0" fontId="7" fillId="0" borderId="38" xfId="37" applyFont="1" applyBorder="1"/>
    <xf numFmtId="0" fontId="7" fillId="0" borderId="41" xfId="37" applyFont="1" applyBorder="1"/>
    <xf numFmtId="0" fontId="16" fillId="0" borderId="42" xfId="37" applyFont="1" applyBorder="1"/>
    <xf numFmtId="0" fontId="16" fillId="0" borderId="43" xfId="37" applyFont="1" applyBorder="1"/>
    <xf numFmtId="0" fontId="16" fillId="0" borderId="43" xfId="37" applyFont="1" applyBorder="1" applyAlignment="1">
      <alignment horizontal="right"/>
    </xf>
    <xf numFmtId="0" fontId="7" fillId="0" borderId="43" xfId="37" applyNumberFormat="1" applyFont="1" applyBorder="1" applyAlignment="1">
      <alignment horizontal="right"/>
    </xf>
    <xf numFmtId="0" fontId="7" fillId="0" borderId="43" xfId="37" applyFont="1" applyBorder="1"/>
    <xf numFmtId="0" fontId="7" fillId="0" borderId="44" xfId="37" applyFont="1" applyBorder="1"/>
    <xf numFmtId="0" fontId="16" fillId="0" borderId="45" xfId="37" applyFont="1" applyBorder="1"/>
    <xf numFmtId="0" fontId="16" fillId="0" borderId="46" xfId="37" applyFont="1" applyBorder="1"/>
    <xf numFmtId="0" fontId="16" fillId="0" borderId="47" xfId="37" applyFont="1" applyBorder="1" applyAlignment="1">
      <alignment horizontal="right"/>
    </xf>
    <xf numFmtId="0" fontId="7" fillId="0" borderId="48" xfId="37" applyFont="1" applyBorder="1"/>
    <xf numFmtId="0" fontId="7" fillId="0" borderId="46" xfId="37" applyFont="1" applyBorder="1"/>
    <xf numFmtId="0" fontId="7" fillId="0" borderId="49" xfId="37" applyFont="1" applyBorder="1"/>
    <xf numFmtId="0" fontId="7" fillId="0" borderId="25" xfId="37" applyFont="1" applyBorder="1"/>
    <xf numFmtId="0" fontId="7" fillId="0" borderId="26" xfId="37" applyFont="1" applyBorder="1"/>
    <xf numFmtId="0" fontId="7" fillId="0" borderId="35" xfId="37" applyFont="1" applyBorder="1" applyAlignment="1">
      <alignment horizontal="left"/>
    </xf>
    <xf numFmtId="0" fontId="16" fillId="0" borderId="50" xfId="37" applyFont="1" applyBorder="1"/>
    <xf numFmtId="0" fontId="16" fillId="0" borderId="0" xfId="37" applyFont="1" applyBorder="1"/>
    <xf numFmtId="0" fontId="16" fillId="0" borderId="0" xfId="37" applyFont="1" applyBorder="1" applyAlignment="1">
      <alignment horizontal="right"/>
    </xf>
    <xf numFmtId="0" fontId="7" fillId="0" borderId="0" xfId="37" applyNumberFormat="1" applyFont="1" applyBorder="1" applyAlignment="1">
      <alignment horizontal="right"/>
    </xf>
    <xf numFmtId="0" fontId="7" fillId="0" borderId="0" xfId="37" applyFont="1" applyBorder="1"/>
    <xf numFmtId="0" fontId="7" fillId="0" borderId="51" xfId="37" applyFont="1" applyBorder="1"/>
    <xf numFmtId="2" fontId="7" fillId="0" borderId="0" xfId="37" applyNumberFormat="1" applyFont="1" applyBorder="1" applyAlignment="1">
      <alignment horizontal="right"/>
    </xf>
    <xf numFmtId="0" fontId="16" fillId="0" borderId="22" xfId="37" applyFont="1" applyBorder="1" applyAlignment="1">
      <alignment horizontal="left"/>
    </xf>
    <xf numFmtId="0" fontId="16" fillId="0" borderId="25" xfId="37" applyFont="1" applyFill="1" applyBorder="1" applyAlignment="1" applyProtection="1">
      <alignment horizontal="left"/>
    </xf>
    <xf numFmtId="0" fontId="16" fillId="0" borderId="23" xfId="37" applyFont="1" applyBorder="1" applyAlignment="1">
      <alignment horizontal="left"/>
    </xf>
    <xf numFmtId="0" fontId="16" fillId="0" borderId="25" xfId="37" applyFont="1" applyBorder="1" applyAlignment="1">
      <alignment horizontal="left"/>
    </xf>
    <xf numFmtId="0" fontId="16" fillId="0" borderId="25" xfId="37" applyNumberFormat="1" applyFont="1" applyFill="1" applyBorder="1" applyAlignment="1" applyProtection="1">
      <alignment horizontal="left"/>
    </xf>
    <xf numFmtId="0" fontId="16" fillId="0" borderId="26" xfId="37" applyFont="1" applyBorder="1" applyAlignment="1">
      <alignment horizontal="left"/>
    </xf>
    <xf numFmtId="0" fontId="16" fillId="0" borderId="32" xfId="37" applyFont="1" applyBorder="1" applyAlignment="1">
      <alignment horizontal="left"/>
    </xf>
    <xf numFmtId="0" fontId="16" fillId="0" borderId="35" xfId="37" applyFont="1" applyFill="1" applyBorder="1" applyAlignment="1" applyProtection="1">
      <alignment horizontal="left"/>
    </xf>
    <xf numFmtId="0" fontId="16" fillId="0" borderId="33" xfId="37" applyFont="1" applyBorder="1" applyAlignment="1">
      <alignment horizontal="left"/>
    </xf>
    <xf numFmtId="0" fontId="16" fillId="0" borderId="35" xfId="37" applyFont="1" applyBorder="1" applyAlignment="1">
      <alignment horizontal="left"/>
    </xf>
    <xf numFmtId="0" fontId="16" fillId="0" borderId="35" xfId="37" applyNumberFormat="1" applyFont="1" applyFill="1" applyBorder="1" applyAlignment="1" applyProtection="1">
      <alignment horizontal="left"/>
    </xf>
    <xf numFmtId="0" fontId="16" fillId="0" borderId="36" xfId="37" applyFont="1" applyBorder="1" applyAlignment="1">
      <alignment horizontal="left"/>
    </xf>
    <xf numFmtId="0" fontId="16" fillId="0" borderId="52" xfId="37" applyFont="1" applyBorder="1" applyAlignment="1">
      <alignment horizontal="left"/>
    </xf>
    <xf numFmtId="0" fontId="16" fillId="0" borderId="53" xfId="37" applyFont="1" applyFill="1" applyBorder="1" applyAlignment="1" applyProtection="1">
      <alignment horizontal="left"/>
    </xf>
    <xf numFmtId="0" fontId="16" fillId="0" borderId="54" xfId="37" applyFont="1" applyBorder="1" applyAlignment="1">
      <alignment horizontal="left"/>
    </xf>
    <xf numFmtId="0" fontId="16" fillId="0" borderId="53" xfId="37" applyFont="1" applyBorder="1" applyAlignment="1">
      <alignment horizontal="left"/>
    </xf>
    <xf numFmtId="0" fontId="16" fillId="0" borderId="40" xfId="37" applyNumberFormat="1" applyFont="1" applyFill="1" applyBorder="1" applyAlignment="1" applyProtection="1">
      <alignment horizontal="left"/>
    </xf>
    <xf numFmtId="0" fontId="7" fillId="0" borderId="50" xfId="37" applyBorder="1"/>
    <xf numFmtId="0" fontId="16" fillId="0" borderId="55" xfId="37" applyFont="1" applyBorder="1"/>
    <xf numFmtId="0" fontId="16" fillId="0" borderId="56" xfId="37" applyFont="1" applyBorder="1"/>
    <xf numFmtId="0" fontId="16" fillId="0" borderId="57" xfId="37" applyFont="1" applyBorder="1"/>
    <xf numFmtId="49" fontId="16" fillId="0" borderId="57" xfId="37" applyNumberFormat="1" applyFont="1" applyBorder="1" applyAlignment="1">
      <alignment horizontal="center"/>
    </xf>
    <xf numFmtId="0" fontId="16" fillId="0" borderId="58" xfId="37" applyFont="1" applyBorder="1"/>
    <xf numFmtId="0" fontId="16" fillId="0" borderId="59" xfId="37" applyFont="1" applyBorder="1" applyAlignment="1">
      <alignment horizontal="center"/>
    </xf>
    <xf numFmtId="0" fontId="7" fillId="0" borderId="43" xfId="37" applyFont="1" applyBorder="1" applyAlignment="1">
      <alignment horizontal="right"/>
    </xf>
    <xf numFmtId="0" fontId="16" fillId="0" borderId="28" xfId="37" applyFont="1" applyBorder="1" applyAlignment="1">
      <alignment horizontal="right"/>
    </xf>
    <xf numFmtId="2" fontId="7" fillId="0" borderId="60" xfId="37" applyNumberFormat="1" applyFont="1" applyBorder="1" applyAlignment="1">
      <alignment horizontal="right"/>
    </xf>
    <xf numFmtId="0" fontId="7" fillId="0" borderId="28" xfId="37" applyFont="1" applyBorder="1"/>
    <xf numFmtId="0" fontId="7" fillId="0" borderId="31" xfId="37" applyFont="1" applyBorder="1"/>
    <xf numFmtId="0" fontId="16" fillId="0" borderId="38" xfId="37" applyFont="1" applyBorder="1" applyAlignment="1">
      <alignment horizontal="right"/>
    </xf>
    <xf numFmtId="0" fontId="7" fillId="0" borderId="0" xfId="37" applyFont="1"/>
    <xf numFmtId="165" fontId="7" fillId="0" borderId="0" xfId="37" applyNumberFormat="1" applyFont="1" applyBorder="1" applyAlignment="1">
      <alignment horizontal="right"/>
    </xf>
    <xf numFmtId="0" fontId="16" fillId="0" borderId="53" xfId="37" applyNumberFormat="1" applyFont="1" applyFill="1" applyBorder="1" applyAlignment="1" applyProtection="1">
      <alignment horizontal="left"/>
    </xf>
    <xf numFmtId="0" fontId="16" fillId="0" borderId="40" xfId="37" applyFont="1" applyBorder="1"/>
    <xf numFmtId="49" fontId="16" fillId="0" borderId="21" xfId="37" applyNumberFormat="1" applyFont="1" applyBorder="1" applyAlignment="1">
      <alignment horizontal="center"/>
    </xf>
    <xf numFmtId="165" fontId="7" fillId="0" borderId="43" xfId="37" applyNumberFormat="1" applyFont="1" applyBorder="1" applyAlignment="1">
      <alignment horizontal="right"/>
    </xf>
    <xf numFmtId="2" fontId="7" fillId="0" borderId="43" xfId="37" applyNumberFormat="1" applyFont="1" applyBorder="1" applyAlignment="1">
      <alignment horizontal="right"/>
    </xf>
    <xf numFmtId="0" fontId="16" fillId="0" borderId="37" xfId="37" applyNumberFormat="1" applyFont="1" applyBorder="1" applyAlignment="1"/>
    <xf numFmtId="0" fontId="16" fillId="0" borderId="38" xfId="37" applyNumberFormat="1" applyFont="1" applyBorder="1" applyAlignment="1"/>
    <xf numFmtId="0" fontId="16" fillId="0" borderId="39" xfId="37" applyNumberFormat="1" applyFont="1" applyBorder="1" applyAlignment="1">
      <alignment horizontal="right"/>
    </xf>
    <xf numFmtId="0" fontId="16" fillId="0" borderId="40" xfId="37" applyNumberFormat="1" applyFont="1" applyBorder="1" applyAlignment="1"/>
    <xf numFmtId="0" fontId="16" fillId="0" borderId="41" xfId="37" applyNumberFormat="1" applyFont="1" applyBorder="1" applyAlignment="1"/>
    <xf numFmtId="2" fontId="7" fillId="0" borderId="0" xfId="37" applyNumberFormat="1" applyFont="1" applyBorder="1"/>
    <xf numFmtId="0" fontId="16" fillId="0" borderId="50" xfId="37" applyNumberFormat="1" applyFont="1" applyBorder="1" applyAlignment="1"/>
    <xf numFmtId="0" fontId="16" fillId="0" borderId="0" xfId="37" applyNumberFormat="1" applyFont="1" applyBorder="1" applyAlignment="1"/>
    <xf numFmtId="0" fontId="16" fillId="0" borderId="0" xfId="37" applyNumberFormat="1" applyFont="1" applyBorder="1" applyAlignment="1">
      <alignment horizontal="right"/>
    </xf>
    <xf numFmtId="2" fontId="7" fillId="0" borderId="0" xfId="37" applyNumberFormat="1" applyFont="1" applyBorder="1" applyAlignment="1"/>
    <xf numFmtId="0" fontId="16" fillId="0" borderId="51" xfId="37" applyNumberFormat="1" applyFont="1" applyBorder="1" applyAlignment="1"/>
    <xf numFmtId="2" fontId="19" fillId="0" borderId="61" xfId="0" applyNumberFormat="1" applyFont="1" applyBorder="1"/>
    <xf numFmtId="2" fontId="19" fillId="0" borderId="62" xfId="37" applyNumberFormat="1" applyFont="1" applyBorder="1"/>
    <xf numFmtId="2" fontId="20" fillId="0" borderId="62" xfId="37" applyNumberFormat="1" applyFont="1" applyBorder="1"/>
    <xf numFmtId="2" fontId="20" fillId="0" borderId="63" xfId="37" applyNumberFormat="1" applyFont="1" applyBorder="1"/>
    <xf numFmtId="2" fontId="20" fillId="0" borderId="60" xfId="37" applyNumberFormat="1" applyFont="1" applyFill="1" applyBorder="1" applyAlignment="1">
      <alignment horizontal="right"/>
    </xf>
    <xf numFmtId="2" fontId="20" fillId="0" borderId="60" xfId="37" applyNumberFormat="1" applyFont="1" applyBorder="1" applyAlignment="1">
      <alignment horizontal="right"/>
    </xf>
    <xf numFmtId="2" fontId="20" fillId="0" borderId="0" xfId="0" applyNumberFormat="1" applyFont="1"/>
    <xf numFmtId="1" fontId="20" fillId="0" borderId="60" xfId="37" applyNumberFormat="1" applyFont="1" applyBorder="1" applyAlignment="1">
      <alignment horizontal="right"/>
    </xf>
    <xf numFmtId="1" fontId="20" fillId="0" borderId="60" xfId="37" applyNumberFormat="1" applyFont="1" applyFill="1" applyBorder="1" applyAlignment="1">
      <alignment horizontal="right"/>
    </xf>
    <xf numFmtId="0" fontId="0" fillId="0" borderId="0" xfId="0" applyBorder="1" applyProtection="1"/>
    <xf numFmtId="0" fontId="0" fillId="0" borderId="0" xfId="0" applyBorder="1" applyAlignment="1" applyProtection="1">
      <alignment horizontal="right"/>
    </xf>
    <xf numFmtId="1" fontId="0" fillId="0" borderId="0" xfId="0" applyNumberFormat="1" applyBorder="1" applyProtection="1"/>
    <xf numFmtId="1" fontId="0" fillId="0" borderId="0" xfId="0" applyNumberFormat="1" applyBorder="1" applyAlignment="1" applyProtection="1">
      <alignment horizontal="right"/>
    </xf>
    <xf numFmtId="0" fontId="37" fillId="0" borderId="0" xfId="0" applyFont="1" applyBorder="1" applyAlignment="1" applyProtection="1">
      <alignment horizontal="centerContinuous" vertical="center"/>
    </xf>
    <xf numFmtId="1" fontId="37" fillId="0" borderId="0" xfId="0" applyNumberFormat="1" applyFont="1" applyBorder="1" applyAlignment="1" applyProtection="1">
      <alignment horizontal="centerContinuous" vertical="center"/>
    </xf>
    <xf numFmtId="0" fontId="0" fillId="0" borderId="64" xfId="0" applyBorder="1" applyProtection="1"/>
    <xf numFmtId="0" fontId="38" fillId="0" borderId="65" xfId="0" applyFont="1" applyBorder="1" applyAlignment="1" applyProtection="1">
      <alignment horizontal="centerContinuous"/>
    </xf>
    <xf numFmtId="0" fontId="38" fillId="0" borderId="66" xfId="0" applyFont="1" applyBorder="1" applyAlignment="1" applyProtection="1">
      <alignment horizontal="centerContinuous"/>
    </xf>
    <xf numFmtId="1" fontId="38" fillId="0" borderId="66" xfId="0" applyNumberFormat="1" applyFont="1" applyBorder="1" applyAlignment="1" applyProtection="1">
      <alignment horizontal="centerContinuous"/>
    </xf>
    <xf numFmtId="0" fontId="38" fillId="0" borderId="67" xfId="0" applyFont="1" applyBorder="1" applyAlignment="1" applyProtection="1">
      <alignment horizontal="centerContinuous"/>
    </xf>
    <xf numFmtId="0" fontId="38" fillId="0" borderId="64" xfId="0" quotePrefix="1" applyFont="1" applyBorder="1" applyAlignment="1" applyProtection="1">
      <alignment horizontal="left"/>
    </xf>
    <xf numFmtId="0" fontId="38" fillId="0" borderId="68" xfId="0" applyFont="1" applyBorder="1" applyAlignment="1" applyProtection="1">
      <alignment horizontal="right"/>
    </xf>
    <xf numFmtId="0" fontId="0" fillId="0" borderId="66" xfId="0" applyBorder="1" applyAlignment="1" applyProtection="1">
      <alignment horizontal="centerContinuous"/>
    </xf>
    <xf numFmtId="0" fontId="0" fillId="0" borderId="67" xfId="0" applyBorder="1" applyAlignment="1" applyProtection="1">
      <alignment horizontal="centerContinuous"/>
    </xf>
    <xf numFmtId="0" fontId="39" fillId="0" borderId="69" xfId="0" applyFont="1" applyBorder="1" applyProtection="1"/>
    <xf numFmtId="0" fontId="40" fillId="0" borderId="70" xfId="0" applyFont="1" applyBorder="1" applyAlignment="1" applyProtection="1">
      <alignment horizontal="right"/>
    </xf>
    <xf numFmtId="0" fontId="40" fillId="0" borderId="71" xfId="0" applyFont="1" applyBorder="1" applyAlignment="1" applyProtection="1">
      <alignment horizontal="right"/>
    </xf>
    <xf numFmtId="0" fontId="40" fillId="0" borderId="65" xfId="0" applyFont="1" applyBorder="1" applyAlignment="1" applyProtection="1">
      <alignment horizontal="centerContinuous"/>
    </xf>
    <xf numFmtId="0" fontId="40" fillId="0" borderId="66" xfId="0" applyFont="1" applyBorder="1" applyAlignment="1" applyProtection="1">
      <alignment horizontal="centerContinuous"/>
    </xf>
    <xf numFmtId="0" fontId="40" fillId="0" borderId="67" xfId="0" applyFont="1" applyBorder="1" applyAlignment="1" applyProtection="1">
      <alignment horizontal="centerContinuous"/>
    </xf>
    <xf numFmtId="1" fontId="40" fillId="0" borderId="65" xfId="0" applyNumberFormat="1" applyFont="1" applyBorder="1" applyAlignment="1" applyProtection="1">
      <alignment horizontal="centerContinuous"/>
    </xf>
    <xf numFmtId="1" fontId="40" fillId="0" borderId="66" xfId="0" applyNumberFormat="1" applyFont="1" applyBorder="1" applyAlignment="1" applyProtection="1">
      <alignment horizontal="centerContinuous"/>
    </xf>
    <xf numFmtId="0" fontId="40" fillId="0" borderId="64" xfId="0" applyFont="1" applyBorder="1" applyAlignment="1" applyProtection="1">
      <alignment horizontal="right"/>
    </xf>
    <xf numFmtId="0" fontId="40" fillId="0" borderId="64" xfId="0" quotePrefix="1" applyFont="1" applyBorder="1" applyAlignment="1" applyProtection="1">
      <alignment horizontal="right"/>
    </xf>
    <xf numFmtId="0" fontId="39" fillId="0" borderId="64" xfId="0" applyFont="1" applyBorder="1" applyAlignment="1" applyProtection="1">
      <alignment horizontal="right"/>
    </xf>
    <xf numFmtId="0" fontId="39" fillId="0" borderId="64" xfId="0" quotePrefix="1" applyFont="1" applyBorder="1" applyAlignment="1" applyProtection="1">
      <alignment horizontal="right"/>
    </xf>
    <xf numFmtId="0" fontId="39" fillId="0" borderId="64" xfId="0" applyFont="1" applyBorder="1" applyProtection="1"/>
    <xf numFmtId="0" fontId="39" fillId="0" borderId="72" xfId="0" applyFont="1" applyFill="1" applyBorder="1" applyAlignment="1" applyProtection="1">
      <alignment horizontal="left"/>
    </xf>
    <xf numFmtId="0" fontId="39" fillId="0" borderId="69" xfId="0" quotePrefix="1" applyFont="1" applyBorder="1" applyAlignment="1" applyProtection="1">
      <alignment horizontal="right"/>
    </xf>
    <xf numFmtId="0" fontId="39" fillId="0" borderId="72" xfId="0" applyFont="1" applyBorder="1" applyAlignment="1" applyProtection="1">
      <alignment horizontal="centerContinuous"/>
    </xf>
    <xf numFmtId="0" fontId="40" fillId="0" borderId="73" xfId="0" applyFont="1" applyBorder="1" applyAlignment="1" applyProtection="1">
      <alignment horizontal="centerContinuous"/>
    </xf>
    <xf numFmtId="0" fontId="40" fillId="0" borderId="72" xfId="0" applyFont="1" applyBorder="1" applyAlignment="1" applyProtection="1">
      <alignment horizontal="right"/>
    </xf>
    <xf numFmtId="0" fontId="40" fillId="0" borderId="74" xfId="0" applyFont="1" applyBorder="1" applyAlignment="1" applyProtection="1">
      <alignment horizontal="right"/>
    </xf>
    <xf numFmtId="0" fontId="40" fillId="0" borderId="75" xfId="0" applyFont="1" applyBorder="1" applyAlignment="1" applyProtection="1">
      <alignment horizontal="right"/>
    </xf>
    <xf numFmtId="1" fontId="40" fillId="0" borderId="72" xfId="0" applyNumberFormat="1" applyFont="1" applyBorder="1" applyAlignment="1" applyProtection="1">
      <alignment horizontal="right"/>
    </xf>
    <xf numFmtId="0" fontId="40" fillId="0" borderId="69" xfId="0" applyFont="1" applyBorder="1" applyAlignment="1" applyProtection="1">
      <alignment horizontal="right"/>
    </xf>
    <xf numFmtId="0" fontId="39" fillId="0" borderId="69" xfId="0" applyFont="1" applyBorder="1" applyAlignment="1" applyProtection="1">
      <alignment horizontal="right"/>
    </xf>
    <xf numFmtId="0" fontId="40" fillId="0" borderId="73" xfId="0" applyFont="1" applyBorder="1" applyAlignment="1" applyProtection="1">
      <alignment horizontal="right"/>
    </xf>
    <xf numFmtId="1" fontId="41" fillId="0" borderId="72" xfId="0" applyNumberFormat="1" applyFont="1" applyBorder="1" applyAlignment="1" applyProtection="1">
      <alignment horizontal="right"/>
    </xf>
    <xf numFmtId="0" fontId="39" fillId="0" borderId="76" xfId="0" applyFont="1" applyBorder="1" applyAlignment="1" applyProtection="1">
      <alignment horizontal="right"/>
    </xf>
    <xf numFmtId="0" fontId="40" fillId="0" borderId="77" xfId="0" applyFont="1" applyBorder="1" applyAlignment="1" applyProtection="1">
      <alignment horizontal="right"/>
    </xf>
    <xf numFmtId="0" fontId="40" fillId="0" borderId="78" xfId="0" applyFont="1" applyBorder="1" applyAlignment="1" applyProtection="1">
      <alignment horizontal="right"/>
    </xf>
    <xf numFmtId="0" fontId="40" fillId="0" borderId="79" xfId="0" applyFont="1" applyBorder="1" applyAlignment="1" applyProtection="1">
      <alignment horizontal="right"/>
    </xf>
    <xf numFmtId="0" fontId="40" fillId="0" borderId="80" xfId="0" applyFont="1" applyBorder="1" applyAlignment="1" applyProtection="1">
      <alignment horizontal="right"/>
    </xf>
    <xf numFmtId="1" fontId="40" fillId="0" borderId="77" xfId="0" applyNumberFormat="1" applyFont="1" applyBorder="1" applyAlignment="1" applyProtection="1">
      <alignment horizontal="right"/>
    </xf>
    <xf numFmtId="0" fontId="40" fillId="0" borderId="76" xfId="0" applyFont="1" applyBorder="1" applyAlignment="1" applyProtection="1">
      <alignment horizontal="right"/>
    </xf>
    <xf numFmtId="0" fontId="40" fillId="0" borderId="76" xfId="0" quotePrefix="1" applyFont="1" applyBorder="1" applyAlignment="1" applyProtection="1">
      <alignment horizontal="right"/>
    </xf>
    <xf numFmtId="0" fontId="0" fillId="0" borderId="81" xfId="0" applyBorder="1" applyProtection="1"/>
    <xf numFmtId="0" fontId="42" fillId="0" borderId="82" xfId="0" applyFont="1" applyBorder="1" applyAlignment="1" applyProtection="1">
      <alignment horizontal="right"/>
    </xf>
    <xf numFmtId="167" fontId="42" fillId="0" borderId="82" xfId="0" applyNumberFormat="1" applyFont="1" applyBorder="1" applyProtection="1"/>
    <xf numFmtId="2" fontId="42" fillId="0" borderId="82" xfId="0" applyNumberFormat="1" applyFont="1" applyBorder="1" applyProtection="1"/>
    <xf numFmtId="1" fontId="42" fillId="0" borderId="82" xfId="0" applyNumberFormat="1" applyFont="1" applyBorder="1" applyProtection="1"/>
    <xf numFmtId="2" fontId="4" fillId="0" borderId="82" xfId="0" applyNumberFormat="1" applyFont="1" applyBorder="1" applyProtection="1"/>
    <xf numFmtId="0" fontId="0" fillId="0" borderId="82" xfId="0" applyBorder="1" applyAlignment="1" applyProtection="1">
      <alignment horizontal="right"/>
    </xf>
    <xf numFmtId="0" fontId="0" fillId="0" borderId="82" xfId="0" applyBorder="1" applyProtection="1"/>
    <xf numFmtId="0" fontId="0" fillId="0" borderId="83" xfId="0" applyBorder="1" applyProtection="1"/>
    <xf numFmtId="167" fontId="0" fillId="0" borderId="0" xfId="0" applyNumberFormat="1"/>
    <xf numFmtId="167" fontId="43" fillId="0" borderId="0" xfId="0" applyNumberFormat="1" applyFont="1"/>
    <xf numFmtId="167" fontId="4" fillId="0" borderId="82" xfId="0" applyNumberFormat="1" applyFont="1" applyBorder="1" applyProtection="1"/>
    <xf numFmtId="0" fontId="0" fillId="0" borderId="82" xfId="0" quotePrefix="1" applyBorder="1" applyAlignment="1" applyProtection="1">
      <alignment horizontal="right"/>
    </xf>
    <xf numFmtId="0" fontId="0" fillId="0" borderId="72" xfId="0" applyBorder="1" applyProtection="1"/>
    <xf numFmtId="0" fontId="42" fillId="0" borderId="74" xfId="0" applyFont="1" applyBorder="1" applyAlignment="1" applyProtection="1">
      <alignment horizontal="right"/>
    </xf>
    <xf numFmtId="167" fontId="42" fillId="0" borderId="74" xfId="0" applyNumberFormat="1" applyFont="1" applyBorder="1" applyProtection="1"/>
    <xf numFmtId="2" fontId="42" fillId="0" borderId="74" xfId="0" applyNumberFormat="1" applyFont="1" applyBorder="1" applyProtection="1"/>
    <xf numFmtId="1" fontId="42" fillId="0" borderId="74" xfId="0" applyNumberFormat="1" applyFont="1" applyBorder="1" applyProtection="1"/>
    <xf numFmtId="2" fontId="4" fillId="0" borderId="74" xfId="0" applyNumberFormat="1" applyFont="1" applyBorder="1" applyProtection="1"/>
    <xf numFmtId="0" fontId="0" fillId="0" borderId="74" xfId="0" quotePrefix="1" applyBorder="1" applyAlignment="1" applyProtection="1">
      <alignment horizontal="right"/>
    </xf>
    <xf numFmtId="0" fontId="0" fillId="0" borderId="74" xfId="0" applyBorder="1" applyAlignment="1" applyProtection="1">
      <alignment horizontal="right"/>
    </xf>
    <xf numFmtId="0" fontId="0" fillId="0" borderId="74" xfId="0" applyBorder="1" applyProtection="1"/>
    <xf numFmtId="0" fontId="0" fillId="0" borderId="75" xfId="0" applyBorder="1" applyProtection="1"/>
    <xf numFmtId="167" fontId="4" fillId="0" borderId="74" xfId="0" applyNumberFormat="1" applyFont="1" applyBorder="1" applyProtection="1"/>
    <xf numFmtId="0" fontId="0" fillId="0" borderId="84" xfId="0" applyBorder="1" applyProtection="1"/>
    <xf numFmtId="0" fontId="42" fillId="0" borderId="85" xfId="0" applyFont="1" applyBorder="1" applyAlignment="1" applyProtection="1">
      <alignment horizontal="right"/>
    </xf>
    <xf numFmtId="167" fontId="42" fillId="0" borderId="85" xfId="0" applyNumberFormat="1" applyFont="1" applyBorder="1" applyProtection="1"/>
    <xf numFmtId="2" fontId="42" fillId="0" borderId="85" xfId="0" applyNumberFormat="1" applyFont="1" applyBorder="1" applyProtection="1"/>
    <xf numFmtId="1" fontId="42" fillId="0" borderId="85" xfId="0" applyNumberFormat="1" applyFont="1" applyBorder="1" applyProtection="1"/>
    <xf numFmtId="2" fontId="4" fillId="0" borderId="85" xfId="0" applyNumberFormat="1" applyFont="1" applyBorder="1" applyProtection="1"/>
    <xf numFmtId="0" fontId="0" fillId="0" borderId="85" xfId="0" quotePrefix="1" applyBorder="1" applyAlignment="1" applyProtection="1">
      <alignment horizontal="right"/>
    </xf>
    <xf numFmtId="0" fontId="0" fillId="0" borderId="85" xfId="0" applyBorder="1" applyAlignment="1" applyProtection="1">
      <alignment horizontal="right"/>
    </xf>
    <xf numFmtId="0" fontId="0" fillId="0" borderId="85" xfId="0" applyBorder="1" applyProtection="1"/>
    <xf numFmtId="0" fontId="0" fillId="0" borderId="86" xfId="0" applyBorder="1" applyProtection="1"/>
    <xf numFmtId="167" fontId="0" fillId="0" borderId="15" xfId="0" applyNumberFormat="1" applyBorder="1"/>
    <xf numFmtId="167" fontId="43" fillId="0" borderId="15" xfId="0" applyNumberFormat="1" applyFont="1" applyBorder="1"/>
    <xf numFmtId="167" fontId="4" fillId="0" borderId="85" xfId="0" applyNumberFormat="1" applyFont="1" applyBorder="1" applyProtection="1"/>
    <xf numFmtId="0" fontId="4" fillId="0" borderId="0" xfId="0" applyFont="1"/>
    <xf numFmtId="0" fontId="4" fillId="0" borderId="15" xfId="0" applyFont="1" applyBorder="1"/>
    <xf numFmtId="0" fontId="0" fillId="0" borderId="77" xfId="0" applyBorder="1" applyProtection="1"/>
    <xf numFmtId="0" fontId="42" fillId="0" borderId="79" xfId="0" applyFont="1" applyBorder="1" applyAlignment="1" applyProtection="1">
      <alignment horizontal="right"/>
    </xf>
    <xf numFmtId="167" fontId="42" fillId="0" borderId="79" xfId="0" applyNumberFormat="1" applyFont="1" applyBorder="1" applyProtection="1"/>
    <xf numFmtId="2" fontId="42" fillId="0" borderId="79" xfId="0" applyNumberFormat="1" applyFont="1" applyBorder="1" applyProtection="1"/>
    <xf numFmtId="1" fontId="42" fillId="0" borderId="79" xfId="0" applyNumberFormat="1" applyFont="1" applyBorder="1" applyProtection="1"/>
    <xf numFmtId="2" fontId="4" fillId="0" borderId="79" xfId="0" applyNumberFormat="1" applyFont="1" applyBorder="1" applyProtection="1"/>
    <xf numFmtId="0" fontId="0" fillId="0" borderId="79" xfId="0" applyBorder="1" applyAlignment="1" applyProtection="1">
      <alignment horizontal="right"/>
    </xf>
    <xf numFmtId="0" fontId="0" fillId="0" borderId="79" xfId="0" applyBorder="1" applyProtection="1"/>
    <xf numFmtId="0" fontId="0" fillId="0" borderId="80" xfId="0" applyBorder="1" applyProtection="1"/>
    <xf numFmtId="0" fontId="0" fillId="19" borderId="81" xfId="0" applyFill="1" applyBorder="1" applyAlignment="1" applyProtection="1">
      <alignment vertical="center"/>
    </xf>
    <xf numFmtId="0" fontId="40" fillId="19" borderId="82" xfId="0" applyFont="1" applyFill="1" applyBorder="1" applyAlignment="1" applyProtection="1">
      <alignment horizontal="centerContinuous" vertical="center"/>
    </xf>
    <xf numFmtId="0" fontId="42" fillId="19" borderId="82" xfId="0" applyFont="1" applyFill="1" applyBorder="1" applyAlignment="1" applyProtection="1">
      <alignment horizontal="centerContinuous" vertical="center"/>
    </xf>
    <xf numFmtId="2" fontId="42" fillId="19" borderId="82" xfId="0" applyNumberFormat="1" applyFont="1" applyFill="1" applyBorder="1" applyAlignment="1" applyProtection="1">
      <alignment horizontal="centerContinuous" vertical="center"/>
    </xf>
    <xf numFmtId="1" fontId="42" fillId="19" borderId="82" xfId="0" applyNumberFormat="1" applyFont="1" applyFill="1" applyBorder="1" applyAlignment="1" applyProtection="1">
      <alignment horizontal="centerContinuous" vertical="center"/>
    </xf>
    <xf numFmtId="2" fontId="4" fillId="19" borderId="82" xfId="0" applyNumberFormat="1" applyFont="1" applyFill="1" applyBorder="1" applyAlignment="1" applyProtection="1">
      <alignment horizontal="centerContinuous" vertical="center"/>
    </xf>
    <xf numFmtId="167" fontId="42" fillId="19" borderId="82" xfId="0" applyNumberFormat="1" applyFont="1" applyFill="1" applyBorder="1" applyAlignment="1" applyProtection="1">
      <alignment vertical="center"/>
    </xf>
    <xf numFmtId="0" fontId="0" fillId="19" borderId="82" xfId="0" applyFill="1" applyBorder="1" applyAlignment="1" applyProtection="1">
      <alignment horizontal="right" vertical="center"/>
    </xf>
    <xf numFmtId="0" fontId="0" fillId="19" borderId="82" xfId="0" applyFill="1" applyBorder="1" applyAlignment="1" applyProtection="1">
      <alignment vertical="center"/>
    </xf>
    <xf numFmtId="0" fontId="0" fillId="19" borderId="83" xfId="0" applyFill="1" applyBorder="1" applyAlignment="1" applyProtection="1">
      <alignment vertical="center"/>
    </xf>
    <xf numFmtId="0" fontId="42" fillId="0" borderId="82" xfId="0" quotePrefix="1" applyFont="1" applyBorder="1" applyAlignment="1" applyProtection="1">
      <alignment horizontal="left"/>
    </xf>
    <xf numFmtId="0" fontId="42" fillId="0" borderId="82" xfId="0" applyFont="1" applyBorder="1" applyAlignment="1" applyProtection="1">
      <alignment horizontal="left"/>
    </xf>
    <xf numFmtId="0" fontId="0" fillId="0" borderId="81" xfId="0" applyBorder="1" applyAlignment="1" applyProtection="1">
      <alignment vertical="center"/>
    </xf>
    <xf numFmtId="164" fontId="4" fillId="0" borderId="14" xfId="0" applyNumberFormat="1" applyFont="1" applyBorder="1"/>
    <xf numFmtId="0" fontId="0" fillId="0" borderId="72" xfId="0" applyBorder="1" applyAlignment="1" applyProtection="1">
      <alignment vertical="center"/>
    </xf>
    <xf numFmtId="0" fontId="42" fillId="0" borderId="74" xfId="0" applyFont="1" applyBorder="1" applyAlignment="1" applyProtection="1">
      <alignment horizontal="left"/>
    </xf>
    <xf numFmtId="0" fontId="1" fillId="0" borderId="79" xfId="0" applyFont="1" applyBorder="1" applyAlignment="1" applyProtection="1">
      <alignment horizontal="right"/>
      <protection locked="0"/>
    </xf>
    <xf numFmtId="1" fontId="1" fillId="0" borderId="79" xfId="0" applyNumberFormat="1" applyFont="1" applyBorder="1" applyProtection="1">
      <protection locked="0"/>
    </xf>
    <xf numFmtId="0" fontId="1" fillId="0" borderId="79" xfId="0" applyFont="1" applyBorder="1" applyProtection="1">
      <protection locked="0"/>
    </xf>
    <xf numFmtId="0" fontId="1" fillId="0" borderId="80" xfId="0" applyFont="1" applyBorder="1" applyProtection="1">
      <protection locked="0"/>
    </xf>
    <xf numFmtId="0" fontId="44" fillId="0" borderId="79" xfId="0" applyFont="1" applyBorder="1" applyAlignment="1" applyProtection="1">
      <alignment horizontal="left"/>
      <protection locked="0"/>
    </xf>
    <xf numFmtId="0" fontId="45" fillId="0" borderId="79" xfId="0" applyFont="1" applyBorder="1" applyAlignment="1" applyProtection="1">
      <alignment horizontal="left"/>
      <protection locked="0"/>
    </xf>
    <xf numFmtId="2" fontId="45" fillId="0" borderId="79" xfId="0" applyNumberFormat="1" applyFont="1" applyBorder="1" applyProtection="1">
      <protection locked="0"/>
    </xf>
    <xf numFmtId="1" fontId="45" fillId="0" borderId="79" xfId="0" applyNumberFormat="1" applyFont="1" applyBorder="1" applyProtection="1">
      <protection locked="0"/>
    </xf>
    <xf numFmtId="2" fontId="46" fillId="0" borderId="79" xfId="0" applyNumberFormat="1" applyFont="1" applyBorder="1" applyProtection="1">
      <protection locked="0"/>
    </xf>
    <xf numFmtId="2" fontId="43" fillId="0" borderId="79" xfId="0" applyNumberFormat="1" applyFont="1" applyBorder="1" applyProtection="1">
      <protection locked="0"/>
    </xf>
    <xf numFmtId="167" fontId="46" fillId="0" borderId="79" xfId="0" applyNumberFormat="1" applyFont="1" applyBorder="1" applyProtection="1">
      <protection locked="0"/>
    </xf>
    <xf numFmtId="0" fontId="47" fillId="0" borderId="79" xfId="0" applyFont="1" applyBorder="1" applyAlignment="1" applyProtection="1">
      <alignment horizontal="right"/>
      <protection locked="0"/>
    </xf>
    <xf numFmtId="11" fontId="47" fillId="0" borderId="79" xfId="0" applyNumberFormat="1" applyFont="1" applyBorder="1" applyProtection="1">
      <protection locked="0"/>
    </xf>
    <xf numFmtId="0" fontId="47" fillId="0" borderId="79" xfId="0" applyFont="1" applyBorder="1" applyProtection="1">
      <protection locked="0"/>
    </xf>
    <xf numFmtId="0" fontId="47" fillId="0" borderId="80" xfId="0" applyFont="1" applyBorder="1" applyProtection="1">
      <protection locked="0"/>
    </xf>
    <xf numFmtId="0" fontId="42" fillId="0" borderId="0" xfId="0" applyFont="1" applyBorder="1" applyAlignment="1" applyProtection="1">
      <alignment horizontal="right"/>
    </xf>
    <xf numFmtId="0" fontId="42" fillId="0" borderId="0" xfId="0" applyFont="1" applyBorder="1" applyProtection="1"/>
    <xf numFmtId="1" fontId="42" fillId="0" borderId="0" xfId="0" applyNumberFormat="1" applyFont="1" applyBorder="1" applyProtection="1"/>
    <xf numFmtId="0" fontId="40" fillId="20" borderId="0" xfId="0" applyFont="1" applyFill="1" applyBorder="1" applyProtection="1"/>
    <xf numFmtId="0" fontId="40" fillId="20" borderId="0" xfId="0" applyFont="1" applyFill="1" applyBorder="1" applyAlignment="1" applyProtection="1">
      <alignment horizontal="right"/>
    </xf>
    <xf numFmtId="1" fontId="40" fillId="20" borderId="0" xfId="0" applyNumberFormat="1" applyFont="1" applyFill="1" applyBorder="1" applyAlignment="1" applyProtection="1">
      <alignment horizontal="right"/>
    </xf>
    <xf numFmtId="1" fontId="40" fillId="20" borderId="0" xfId="0" quotePrefix="1" applyNumberFormat="1" applyFont="1" applyFill="1" applyBorder="1" applyAlignment="1" applyProtection="1">
      <alignment horizontal="right"/>
    </xf>
    <xf numFmtId="0" fontId="39" fillId="20" borderId="0" xfId="0" applyFont="1" applyFill="1" applyBorder="1" applyAlignment="1" applyProtection="1">
      <alignment horizontal="right"/>
    </xf>
    <xf numFmtId="165" fontId="40" fillId="20" borderId="0" xfId="0" applyNumberFormat="1" applyFont="1" applyFill="1" applyBorder="1" applyProtection="1"/>
    <xf numFmtId="1" fontId="40" fillId="20" borderId="0" xfId="0" applyNumberFormat="1" applyFont="1" applyFill="1" applyBorder="1" applyProtection="1"/>
    <xf numFmtId="170" fontId="40" fillId="20" borderId="0" xfId="0" applyNumberFormat="1" applyFont="1" applyFill="1" applyBorder="1" applyProtection="1"/>
    <xf numFmtId="165" fontId="39" fillId="20" borderId="0" xfId="0" applyNumberFormat="1" applyFont="1" applyFill="1" applyBorder="1" applyAlignment="1" applyProtection="1">
      <alignment horizontal="right"/>
    </xf>
    <xf numFmtId="171" fontId="40" fillId="20" borderId="0" xfId="0" applyNumberFormat="1" applyFont="1" applyFill="1" applyBorder="1" applyProtection="1"/>
    <xf numFmtId="0" fontId="39" fillId="0" borderId="65" xfId="0" applyFont="1" applyBorder="1" applyAlignment="1" applyProtection="1">
      <alignment horizontal="right"/>
    </xf>
    <xf numFmtId="0" fontId="39" fillId="0" borderId="66" xfId="0" applyFont="1" applyBorder="1" applyAlignment="1" applyProtection="1">
      <alignment horizontal="right"/>
    </xf>
    <xf numFmtId="0" fontId="40" fillId="0" borderId="68" xfId="0" applyFont="1" applyBorder="1" applyAlignment="1" applyProtection="1">
      <alignment horizontal="centerContinuous"/>
    </xf>
    <xf numFmtId="0" fontId="39" fillId="0" borderId="70" xfId="0" applyFont="1" applyBorder="1" applyAlignment="1" applyProtection="1">
      <alignment horizontal="centerContinuous"/>
    </xf>
    <xf numFmtId="0" fontId="39" fillId="0" borderId="71" xfId="0" applyFont="1" applyBorder="1" applyAlignment="1" applyProtection="1">
      <alignment horizontal="centerContinuous"/>
    </xf>
    <xf numFmtId="0" fontId="39" fillId="0" borderId="70" xfId="0" applyFont="1" applyBorder="1" applyAlignment="1" applyProtection="1">
      <alignment horizontal="right"/>
    </xf>
    <xf numFmtId="0" fontId="39" fillId="0" borderId="87" xfId="0" applyFont="1" applyBorder="1" applyAlignment="1" applyProtection="1">
      <alignment horizontal="right"/>
    </xf>
    <xf numFmtId="0" fontId="39" fillId="0" borderId="88" xfId="0" applyFont="1" applyBorder="1" applyAlignment="1" applyProtection="1">
      <alignment horizontal="right"/>
    </xf>
    <xf numFmtId="1" fontId="39" fillId="0" borderId="70" xfId="0" applyNumberFormat="1" applyFont="1" applyBorder="1" applyAlignment="1" applyProtection="1">
      <alignment horizontal="right"/>
    </xf>
    <xf numFmtId="1" fontId="39" fillId="0" borderId="87" xfId="0" applyNumberFormat="1" applyFont="1" applyBorder="1" applyAlignment="1" applyProtection="1">
      <alignment horizontal="right"/>
    </xf>
    <xf numFmtId="0" fontId="39" fillId="0" borderId="72" xfId="0" applyFont="1" applyBorder="1" applyAlignment="1" applyProtection="1">
      <alignment horizontal="right"/>
    </xf>
    <xf numFmtId="0" fontId="39" fillId="0" borderId="75" xfId="0" applyFont="1" applyBorder="1" applyAlignment="1" applyProtection="1">
      <alignment horizontal="right"/>
    </xf>
    <xf numFmtId="0" fontId="39" fillId="0" borderId="73" xfId="0" applyFont="1" applyBorder="1" applyAlignment="1" applyProtection="1">
      <alignment horizontal="right"/>
    </xf>
    <xf numFmtId="0" fontId="39" fillId="0" borderId="74" xfId="0" applyFont="1" applyBorder="1" applyAlignment="1" applyProtection="1">
      <alignment horizontal="right"/>
    </xf>
    <xf numFmtId="1" fontId="39" fillId="0" borderId="74" xfId="0" applyNumberFormat="1" applyFont="1" applyBorder="1" applyAlignment="1" applyProtection="1">
      <alignment horizontal="right"/>
    </xf>
    <xf numFmtId="0" fontId="39" fillId="0" borderId="77" xfId="0" applyFont="1" applyBorder="1" applyAlignment="1" applyProtection="1">
      <alignment horizontal="right"/>
    </xf>
    <xf numFmtId="0" fontId="39" fillId="0" borderId="78" xfId="0" applyFont="1" applyBorder="1" applyAlignment="1" applyProtection="1">
      <alignment horizontal="right"/>
    </xf>
    <xf numFmtId="0" fontId="39" fillId="0" borderId="79" xfId="0" applyFont="1" applyBorder="1" applyAlignment="1" applyProtection="1">
      <alignment horizontal="right"/>
    </xf>
    <xf numFmtId="0" fontId="39" fillId="0" borderId="80" xfId="0" applyFont="1" applyBorder="1" applyAlignment="1" applyProtection="1">
      <alignment horizontal="right"/>
    </xf>
    <xf numFmtId="1" fontId="39" fillId="0" borderId="77" xfId="0" applyNumberFormat="1" applyFont="1" applyBorder="1" applyAlignment="1" applyProtection="1">
      <alignment horizontal="right"/>
    </xf>
    <xf numFmtId="1" fontId="39" fillId="0" borderId="79" xfId="0" applyNumberFormat="1" applyFont="1" applyBorder="1" applyAlignment="1" applyProtection="1">
      <alignment horizontal="right"/>
    </xf>
    <xf numFmtId="167" fontId="0" fillId="0" borderId="82" xfId="0" applyNumberFormat="1" applyBorder="1" applyProtection="1"/>
    <xf numFmtId="165" fontId="0" fillId="0" borderId="82" xfId="0" applyNumberFormat="1" applyBorder="1" applyProtection="1"/>
    <xf numFmtId="1" fontId="0" fillId="0" borderId="82" xfId="0" applyNumberFormat="1" applyBorder="1" applyProtection="1"/>
    <xf numFmtId="0" fontId="0" fillId="0" borderId="83" xfId="0" applyBorder="1" applyAlignment="1" applyProtection="1">
      <alignment horizontal="right"/>
    </xf>
    <xf numFmtId="1" fontId="0" fillId="0" borderId="82" xfId="0" applyNumberFormat="1" applyBorder="1" applyAlignment="1" applyProtection="1">
      <alignment horizontal="right"/>
    </xf>
    <xf numFmtId="165" fontId="0" fillId="0" borderId="82" xfId="0" applyNumberFormat="1" applyBorder="1" applyAlignment="1" applyProtection="1">
      <alignment horizontal="right"/>
    </xf>
    <xf numFmtId="165" fontId="0" fillId="0" borderId="83" xfId="0" applyNumberFormat="1" applyBorder="1" applyAlignment="1" applyProtection="1">
      <alignment horizontal="right"/>
    </xf>
    <xf numFmtId="2" fontId="0" fillId="0" borderId="82" xfId="0" applyNumberFormat="1" applyBorder="1" applyProtection="1"/>
    <xf numFmtId="0" fontId="44" fillId="0" borderId="79" xfId="0" applyFont="1" applyBorder="1" applyAlignment="1" applyProtection="1">
      <alignment horizontal="right"/>
      <protection locked="0"/>
    </xf>
    <xf numFmtId="167" fontId="45" fillId="0" borderId="79" xfId="0" applyNumberFormat="1" applyFont="1" applyBorder="1" applyProtection="1">
      <protection locked="0"/>
    </xf>
    <xf numFmtId="165" fontId="45" fillId="0" borderId="79" xfId="0" applyNumberFormat="1" applyFont="1" applyBorder="1" applyProtection="1">
      <protection locked="0"/>
    </xf>
    <xf numFmtId="165" fontId="46" fillId="0" borderId="79" xfId="0" applyNumberFormat="1" applyFont="1" applyBorder="1" applyProtection="1">
      <protection locked="0"/>
    </xf>
    <xf numFmtId="165" fontId="47" fillId="0" borderId="79" xfId="0" applyNumberFormat="1" applyFont="1" applyBorder="1" applyProtection="1">
      <protection locked="0"/>
    </xf>
    <xf numFmtId="165" fontId="47" fillId="0" borderId="80" xfId="0" applyNumberFormat="1" applyFont="1" applyBorder="1" applyProtection="1">
      <protection locked="0"/>
    </xf>
    <xf numFmtId="0" fontId="48" fillId="0" borderId="0" xfId="0" applyFont="1"/>
    <xf numFmtId="2" fontId="0" fillId="0" borderId="0" xfId="0" applyNumberFormat="1" applyAlignment="1">
      <alignment horizontal="right"/>
    </xf>
    <xf numFmtId="0" fontId="0" fillId="0" borderId="89" xfId="0" applyBorder="1"/>
    <xf numFmtId="0" fontId="8" fillId="0" borderId="89" xfId="0" applyFont="1" applyBorder="1"/>
    <xf numFmtId="0" fontId="6" fillId="0" borderId="89" xfId="0" applyFont="1" applyBorder="1"/>
    <xf numFmtId="2" fontId="0" fillId="0" borderId="14" xfId="0" applyNumberFormat="1" applyBorder="1" applyAlignment="1">
      <alignment horizontal="right"/>
    </xf>
    <xf numFmtId="0" fontId="18" fillId="0" borderId="36" xfId="37" applyFont="1" applyBorder="1"/>
    <xf numFmtId="2" fontId="20" fillId="0" borderId="63" xfId="37" applyNumberFormat="1" applyFont="1" applyBorder="1" applyAlignment="1">
      <alignment horizontal="right"/>
    </xf>
    <xf numFmtId="1" fontId="20" fillId="0" borderId="63" xfId="37" applyNumberFormat="1" applyFont="1" applyBorder="1" applyAlignment="1">
      <alignment horizontal="right"/>
    </xf>
    <xf numFmtId="0" fontId="16" fillId="0" borderId="28" xfId="37" applyFont="1" applyBorder="1" applyAlignment="1">
      <alignment horizontal="left"/>
    </xf>
    <xf numFmtId="165" fontId="20" fillId="0" borderId="60" xfId="37" applyNumberFormat="1" applyFont="1" applyBorder="1" applyAlignment="1">
      <alignment horizontal="right"/>
    </xf>
    <xf numFmtId="0" fontId="7" fillId="0" borderId="0" xfId="0" applyFont="1"/>
    <xf numFmtId="1" fontId="20" fillId="0" borderId="61" xfId="37" applyNumberFormat="1" applyFont="1" applyBorder="1" applyAlignment="1">
      <alignment horizontal="right"/>
    </xf>
    <xf numFmtId="2" fontId="20" fillId="0" borderId="62" xfId="37" applyNumberFormat="1" applyFont="1" applyBorder="1" applyAlignment="1">
      <alignment horizontal="right"/>
    </xf>
    <xf numFmtId="0" fontId="17" fillId="0" borderId="0" xfId="37" applyFont="1"/>
    <xf numFmtId="0" fontId="49" fillId="0" borderId="0" xfId="0" applyFont="1"/>
    <xf numFmtId="165" fontId="20" fillId="0" borderId="63" xfId="37" applyNumberFormat="1" applyFont="1" applyBorder="1" applyAlignment="1">
      <alignment horizontal="right"/>
    </xf>
    <xf numFmtId="2" fontId="20" fillId="0" borderId="62" xfId="37" applyNumberFormat="1" applyFont="1" applyFill="1" applyBorder="1" applyAlignment="1">
      <alignment horizontal="right"/>
    </xf>
    <xf numFmtId="165" fontId="7" fillId="0" borderId="0" xfId="37" applyNumberFormat="1"/>
    <xf numFmtId="0" fontId="17" fillId="0" borderId="90" xfId="37" applyNumberFormat="1" applyFont="1" applyBorder="1" applyAlignment="1" applyProtection="1">
      <alignment horizontal="right"/>
      <protection locked="0"/>
    </xf>
    <xf numFmtId="0" fontId="17" fillId="0" borderId="60" xfId="37" applyNumberFormat="1" applyFont="1" applyBorder="1" applyAlignment="1" applyProtection="1">
      <alignment horizontal="right"/>
      <protection locked="0"/>
    </xf>
    <xf numFmtId="0" fontId="17" fillId="0" borderId="62" xfId="37" applyNumberFormat="1" applyFont="1" applyBorder="1" applyAlignment="1" applyProtection="1">
      <alignment horizontal="right"/>
      <protection locked="0"/>
    </xf>
    <xf numFmtId="2" fontId="17" fillId="0" borderId="62" xfId="37" applyNumberFormat="1" applyFont="1" applyBorder="1" applyAlignment="1" applyProtection="1">
      <alignment horizontal="right"/>
      <protection locked="0"/>
    </xf>
    <xf numFmtId="0" fontId="17" fillId="0" borderId="63" xfId="37" applyNumberFormat="1" applyFont="1" applyBorder="1" applyAlignment="1" applyProtection="1">
      <alignment horizontal="right"/>
      <protection locked="0"/>
    </xf>
    <xf numFmtId="0" fontId="17" fillId="0" borderId="61" xfId="37" applyNumberFormat="1" applyFont="1" applyFill="1" applyBorder="1" applyAlignment="1" applyProtection="1">
      <alignment horizontal="right"/>
      <protection locked="0"/>
    </xf>
    <xf numFmtId="0" fontId="17" fillId="0" borderId="90" xfId="37" applyNumberFormat="1" applyFont="1" applyBorder="1" applyAlignment="1" applyProtection="1">
      <protection locked="0"/>
    </xf>
    <xf numFmtId="0" fontId="17" fillId="0" borderId="62" xfId="37" applyNumberFormat="1" applyFont="1" applyFill="1" applyBorder="1" applyAlignment="1" applyProtection="1">
      <alignment horizontal="right"/>
      <protection locked="0"/>
    </xf>
    <xf numFmtId="0" fontId="16" fillId="0" borderId="34" xfId="37" applyFont="1" applyBorder="1" applyAlignment="1" applyProtection="1">
      <alignment horizontal="right"/>
      <protection locked="0"/>
    </xf>
    <xf numFmtId="0" fontId="7" fillId="0" borderId="35" xfId="37" applyFont="1" applyBorder="1" applyProtection="1">
      <protection locked="0"/>
    </xf>
    <xf numFmtId="1" fontId="17" fillId="0" borderId="61" xfId="37" applyNumberFormat="1" applyFont="1" applyFill="1" applyBorder="1" applyAlignment="1" applyProtection="1">
      <alignment horizontal="right"/>
      <protection locked="0"/>
    </xf>
    <xf numFmtId="1" fontId="17" fillId="0" borderId="63" xfId="37" applyNumberFormat="1" applyFont="1" applyFill="1" applyBorder="1" applyAlignment="1" applyProtection="1">
      <alignment horizontal="right"/>
      <protection locked="0"/>
    </xf>
    <xf numFmtId="0" fontId="18" fillId="0" borderId="36" xfId="37" applyFont="1" applyBorder="1" applyProtection="1">
      <protection locked="0"/>
    </xf>
    <xf numFmtId="0" fontId="18" fillId="0" borderId="26" xfId="37" applyFont="1" applyBorder="1" applyProtection="1">
      <protection locked="0"/>
    </xf>
    <xf numFmtId="165" fontId="50" fillId="0" borderId="0" xfId="0" applyNumberFormat="1" applyFont="1" applyFill="1" applyProtection="1">
      <protection locked="0"/>
    </xf>
    <xf numFmtId="165" fontId="50" fillId="0" borderId="0" xfId="37" applyNumberFormat="1" applyFont="1" applyProtection="1">
      <protection locked="0"/>
    </xf>
    <xf numFmtId="165" fontId="50" fillId="0" borderId="0" xfId="0" applyNumberFormat="1" applyFont="1" applyProtection="1">
      <protection locked="0"/>
    </xf>
    <xf numFmtId="0" fontId="7" fillId="0" borderId="0" xfId="37" applyProtection="1">
      <protection locked="0"/>
    </xf>
    <xf numFmtId="0" fontId="16" fillId="0" borderId="16" xfId="0" applyNumberFormat="1" applyFont="1" applyFill="1" applyBorder="1" applyAlignment="1" applyProtection="1">
      <alignment horizontal="centerContinuous"/>
    </xf>
    <xf numFmtId="0" fontId="16" fillId="0" borderId="18" xfId="0" applyNumberFormat="1" applyFont="1" applyFill="1" applyBorder="1" applyAlignment="1" applyProtection="1">
      <alignment horizontal="centerContinuous"/>
    </xf>
    <xf numFmtId="0" fontId="16" fillId="0" borderId="17" xfId="0" applyNumberFormat="1" applyFont="1" applyFill="1" applyBorder="1" applyAlignment="1" applyProtection="1">
      <alignment horizontal="centerContinuous"/>
    </xf>
    <xf numFmtId="0" fontId="16" fillId="0" borderId="19" xfId="0" applyFont="1" applyFill="1" applyBorder="1" applyAlignment="1" applyProtection="1">
      <alignment horizontal="centerContinuous"/>
    </xf>
    <xf numFmtId="0" fontId="16" fillId="0" borderId="21" xfId="0" applyFont="1" applyFill="1" applyBorder="1" applyAlignment="1" applyProtection="1">
      <alignment horizontal="centerContinuous"/>
    </xf>
    <xf numFmtId="0" fontId="7" fillId="0" borderId="20" xfId="0" applyFont="1" applyFill="1" applyBorder="1" applyAlignment="1" applyProtection="1">
      <alignment horizontal="centerContinuous"/>
    </xf>
    <xf numFmtId="0" fontId="16" fillId="0" borderId="22" xfId="0" applyNumberFormat="1" applyFont="1" applyFill="1" applyBorder="1" applyAlignment="1" applyProtection="1"/>
    <xf numFmtId="0" fontId="16" fillId="0" borderId="23" xfId="0" applyNumberFormat="1" applyFont="1" applyFill="1" applyBorder="1" applyAlignment="1" applyProtection="1"/>
    <xf numFmtId="0" fontId="16" fillId="0" borderId="24" xfId="0" applyNumberFormat="1" applyFont="1" applyFill="1" applyBorder="1" applyAlignment="1" applyProtection="1">
      <alignment horizontal="right"/>
    </xf>
    <xf numFmtId="0" fontId="7" fillId="0" borderId="23" xfId="0" applyFont="1" applyFill="1" applyBorder="1" applyAlignment="1" applyProtection="1"/>
    <xf numFmtId="0" fontId="7" fillId="0" borderId="26" xfId="0" applyFont="1" applyFill="1" applyBorder="1" applyAlignment="1" applyProtection="1"/>
    <xf numFmtId="0" fontId="16" fillId="0" borderId="32" xfId="0" applyNumberFormat="1" applyFont="1" applyFill="1" applyBorder="1" applyAlignment="1" applyProtection="1"/>
    <xf numFmtId="0" fontId="16" fillId="0" borderId="33" xfId="0" applyNumberFormat="1" applyFont="1" applyFill="1" applyBorder="1" applyAlignment="1" applyProtection="1"/>
    <xf numFmtId="0" fontId="16" fillId="0" borderId="34" xfId="0" applyNumberFormat="1" applyFont="1" applyFill="1" applyBorder="1" applyAlignment="1" applyProtection="1">
      <alignment horizontal="right"/>
    </xf>
    <xf numFmtId="0" fontId="7" fillId="0" borderId="33" xfId="0" applyFont="1" applyFill="1" applyBorder="1" applyAlignment="1" applyProtection="1"/>
    <xf numFmtId="0" fontId="7" fillId="0" borderId="36" xfId="0" applyFont="1" applyFill="1" applyBorder="1" applyAlignment="1" applyProtection="1"/>
    <xf numFmtId="0" fontId="16" fillId="0" borderId="37" xfId="0" applyNumberFormat="1" applyFont="1" applyFill="1" applyBorder="1" applyAlignment="1" applyProtection="1"/>
    <xf numFmtId="0" fontId="16" fillId="0" borderId="38" xfId="0" applyNumberFormat="1" applyFont="1" applyFill="1" applyBorder="1" applyAlignment="1" applyProtection="1"/>
    <xf numFmtId="0" fontId="16" fillId="0" borderId="39" xfId="0" applyNumberFormat="1" applyFont="1" applyFill="1" applyBorder="1" applyAlignment="1" applyProtection="1">
      <alignment horizontal="right"/>
    </xf>
    <xf numFmtId="0" fontId="7" fillId="0" borderId="38" xfId="0" applyFont="1" applyFill="1" applyBorder="1" applyAlignment="1" applyProtection="1"/>
    <xf numFmtId="0" fontId="7" fillId="0" borderId="41" xfId="0" applyFont="1" applyFill="1" applyBorder="1" applyAlignment="1" applyProtection="1"/>
    <xf numFmtId="0" fontId="16" fillId="0" borderId="91" xfId="0" applyFont="1" applyFill="1" applyBorder="1" applyAlignment="1" applyProtection="1">
      <alignment horizontal="center"/>
    </xf>
    <xf numFmtId="0" fontId="16" fillId="0" borderId="92" xfId="0" applyFont="1" applyFill="1" applyBorder="1" applyAlignment="1" applyProtection="1">
      <alignment horizontal="center"/>
    </xf>
    <xf numFmtId="0" fontId="16" fillId="0" borderId="27" xfId="0" applyNumberFormat="1" applyFont="1" applyFill="1" applyBorder="1" applyAlignment="1" applyProtection="1"/>
    <xf numFmtId="0" fontId="16" fillId="0" borderId="28" xfId="0" applyNumberFormat="1" applyFont="1" applyFill="1" applyBorder="1" applyAlignment="1" applyProtection="1"/>
    <xf numFmtId="0" fontId="16" fillId="0" borderId="29" xfId="0" applyNumberFormat="1" applyFont="1" applyFill="1" applyBorder="1" applyAlignment="1" applyProtection="1">
      <alignment horizontal="right"/>
    </xf>
    <xf numFmtId="0" fontId="7" fillId="0" borderId="28" xfId="0" applyFont="1" applyFill="1" applyBorder="1" applyAlignment="1" applyProtection="1"/>
    <xf numFmtId="0" fontId="7" fillId="0" borderId="31" xfId="0" applyFont="1" applyFill="1" applyBorder="1" applyAlignment="1" applyProtection="1"/>
    <xf numFmtId="0" fontId="16" fillId="0" borderId="45" xfId="0" applyNumberFormat="1" applyFont="1" applyFill="1" applyBorder="1" applyAlignment="1" applyProtection="1"/>
    <xf numFmtId="0" fontId="16" fillId="0" borderId="46" xfId="0" applyNumberFormat="1" applyFont="1" applyFill="1" applyBorder="1" applyAlignment="1" applyProtection="1"/>
    <xf numFmtId="0" fontId="16" fillId="0" borderId="46" xfId="0" applyNumberFormat="1" applyFont="1" applyFill="1" applyBorder="1" applyAlignment="1" applyProtection="1">
      <alignment horizontal="right"/>
    </xf>
    <xf numFmtId="0" fontId="7" fillId="0" borderId="46" xfId="0" applyFont="1" applyFill="1" applyBorder="1" applyAlignment="1" applyProtection="1"/>
    <xf numFmtId="0" fontId="7" fillId="0" borderId="49" xfId="0" applyFont="1" applyFill="1" applyBorder="1" applyAlignment="1" applyProtection="1"/>
    <xf numFmtId="0" fontId="16" fillId="0" borderId="33" xfId="0" applyNumberFormat="1" applyFont="1" applyFill="1" applyBorder="1" applyAlignment="1" applyProtection="1">
      <alignment horizontal="right"/>
    </xf>
    <xf numFmtId="0" fontId="7" fillId="0" borderId="33" xfId="0" applyNumberFormat="1" applyFont="1" applyFill="1" applyBorder="1" applyAlignment="1" applyProtection="1"/>
    <xf numFmtId="0" fontId="7" fillId="0" borderId="38" xfId="0" applyNumberFormat="1" applyFont="1" applyFill="1" applyBorder="1" applyAlignment="1" applyProtection="1"/>
    <xf numFmtId="0" fontId="16" fillId="0" borderId="42" xfId="0" applyNumberFormat="1" applyFont="1" applyFill="1" applyBorder="1" applyAlignment="1" applyProtection="1"/>
    <xf numFmtId="0" fontId="16" fillId="0" borderId="43" xfId="0" applyNumberFormat="1" applyFont="1" applyFill="1" applyBorder="1" applyAlignment="1" applyProtection="1"/>
    <xf numFmtId="0" fontId="16" fillId="0" borderId="43" xfId="0" applyNumberFormat="1" applyFont="1" applyFill="1" applyBorder="1" applyAlignment="1" applyProtection="1">
      <alignment horizontal="right"/>
    </xf>
    <xf numFmtId="0" fontId="7" fillId="0" borderId="43" xfId="0" applyNumberFormat="1" applyFont="1" applyFill="1" applyBorder="1" applyAlignment="1" applyProtection="1"/>
    <xf numFmtId="0" fontId="16" fillId="0" borderId="44" xfId="0" applyNumberFormat="1" applyFont="1" applyFill="1" applyBorder="1" applyAlignment="1" applyProtection="1"/>
    <xf numFmtId="0" fontId="16" fillId="0" borderId="47" xfId="0" applyNumberFormat="1" applyFont="1" applyFill="1" applyBorder="1" applyAlignment="1" applyProtection="1">
      <alignment horizontal="right"/>
    </xf>
    <xf numFmtId="0" fontId="16" fillId="0" borderId="48" xfId="0" applyNumberFormat="1" applyFont="1" applyFill="1" applyBorder="1" applyAlignment="1" applyProtection="1"/>
    <xf numFmtId="0" fontId="16" fillId="0" borderId="49" xfId="0" applyNumberFormat="1" applyFont="1" applyFill="1" applyBorder="1" applyAlignment="1" applyProtection="1"/>
    <xf numFmtId="0" fontId="16" fillId="0" borderId="35" xfId="0" applyNumberFormat="1" applyFont="1" applyFill="1" applyBorder="1" applyAlignment="1" applyProtection="1"/>
    <xf numFmtId="0" fontId="16" fillId="0" borderId="36" xfId="0" applyNumberFormat="1" applyFont="1" applyFill="1" applyBorder="1" applyAlignment="1" applyProtection="1"/>
    <xf numFmtId="0" fontId="16" fillId="0" borderId="40" xfId="0" applyNumberFormat="1" applyFont="1" applyFill="1" applyBorder="1" applyAlignment="1" applyProtection="1"/>
    <xf numFmtId="0" fontId="16" fillId="0" borderId="41" xfId="0" applyNumberFormat="1" applyFont="1" applyFill="1" applyBorder="1" applyAlignment="1" applyProtection="1"/>
    <xf numFmtId="0" fontId="16" fillId="0" borderId="16" xfId="0" applyNumberFormat="1" applyFont="1" applyFill="1" applyBorder="1" applyAlignment="1" applyProtection="1"/>
    <xf numFmtId="0" fontId="16" fillId="0" borderId="18" xfId="0" applyNumberFormat="1" applyFont="1" applyFill="1" applyBorder="1" applyAlignment="1" applyProtection="1"/>
    <xf numFmtId="0" fontId="16" fillId="0" borderId="17" xfId="0" applyNumberFormat="1" applyFont="1" applyFill="1" applyBorder="1" applyAlignment="1" applyProtection="1"/>
    <xf numFmtId="0" fontId="16" fillId="0" borderId="50" xfId="0" applyNumberFormat="1" applyFont="1" applyFill="1" applyBorder="1" applyAlignment="1" applyProtection="1"/>
    <xf numFmtId="0" fontId="16" fillId="0" borderId="0" xfId="0" applyNumberFormat="1" applyFont="1" applyFill="1" applyBorder="1" applyAlignment="1" applyProtection="1"/>
    <xf numFmtId="0" fontId="16" fillId="0" borderId="51" xfId="0" applyNumberFormat="1" applyFont="1" applyFill="1" applyBorder="1" applyAlignment="1" applyProtection="1"/>
    <xf numFmtId="0" fontId="16" fillId="0" borderId="19" xfId="0" applyNumberFormat="1" applyFont="1" applyFill="1" applyBorder="1" applyAlignment="1" applyProtection="1"/>
    <xf numFmtId="0" fontId="16" fillId="0" borderId="21" xfId="0" applyNumberFormat="1" applyFont="1" applyFill="1" applyBorder="1" applyAlignment="1" applyProtection="1"/>
    <xf numFmtId="2" fontId="16" fillId="0" borderId="21" xfId="0" applyNumberFormat="1" applyFont="1" applyFill="1" applyBorder="1" applyAlignment="1" applyProtection="1"/>
    <xf numFmtId="0" fontId="16" fillId="0" borderId="20" xfId="0" applyNumberFormat="1" applyFont="1" applyFill="1" applyBorder="1" applyAlignment="1" applyProtection="1"/>
    <xf numFmtId="0" fontId="16" fillId="0" borderId="93" xfId="0" applyNumberFormat="1" applyFont="1" applyFill="1" applyBorder="1" applyAlignment="1" applyProtection="1">
      <alignment horizontal="left"/>
    </xf>
    <xf numFmtId="0" fontId="16" fillId="0" borderId="23" xfId="0" applyNumberFormat="1" applyFont="1" applyFill="1" applyBorder="1" applyAlignment="1" applyProtection="1">
      <alignment horizontal="left"/>
    </xf>
    <xf numFmtId="0" fontId="16" fillId="0" borderId="90" xfId="0" applyNumberFormat="1" applyFont="1" applyFill="1" applyBorder="1" applyAlignment="1" applyProtection="1">
      <alignment horizontal="left"/>
    </xf>
    <xf numFmtId="0" fontId="16" fillId="0" borderId="26" xfId="0" applyNumberFormat="1" applyFont="1" applyFill="1" applyBorder="1" applyAlignment="1" applyProtection="1">
      <alignment horizontal="left"/>
    </xf>
    <xf numFmtId="0" fontId="16" fillId="0" borderId="94" xfId="0" applyNumberFormat="1" applyFont="1" applyFill="1" applyBorder="1" applyAlignment="1" applyProtection="1">
      <alignment horizontal="left"/>
    </xf>
    <xf numFmtId="0" fontId="16" fillId="0" borderId="28" xfId="0" applyNumberFormat="1" applyFont="1" applyFill="1" applyBorder="1" applyAlignment="1" applyProtection="1">
      <alignment horizontal="left"/>
    </xf>
    <xf numFmtId="0" fontId="16" fillId="0" borderId="60" xfId="0" applyNumberFormat="1" applyFont="1" applyFill="1" applyBorder="1" applyAlignment="1" applyProtection="1">
      <alignment horizontal="left"/>
    </xf>
    <xf numFmtId="0" fontId="16" fillId="0" borderId="36" xfId="0" applyNumberFormat="1" applyFont="1" applyFill="1" applyBorder="1" applyAlignment="1" applyProtection="1">
      <alignment horizontal="left"/>
    </xf>
    <xf numFmtId="0" fontId="16" fillId="0" borderId="95" xfId="0" applyNumberFormat="1" applyFont="1" applyFill="1" applyBorder="1" applyAlignment="1" applyProtection="1">
      <alignment horizontal="left"/>
    </xf>
    <xf numFmtId="0" fontId="16" fillId="0" borderId="21" xfId="0" applyNumberFormat="1" applyFont="1" applyFill="1" applyBorder="1" applyAlignment="1" applyProtection="1">
      <alignment horizontal="left"/>
    </xf>
    <xf numFmtId="0" fontId="16" fillId="0" borderId="96" xfId="0" applyNumberFormat="1" applyFont="1" applyFill="1" applyBorder="1" applyAlignment="1" applyProtection="1">
      <alignment horizontal="left"/>
    </xf>
    <xf numFmtId="0" fontId="16" fillId="0" borderId="41" xfId="0" applyNumberFormat="1" applyFont="1" applyFill="1" applyBorder="1" applyAlignment="1" applyProtection="1">
      <alignment horizontal="left"/>
    </xf>
    <xf numFmtId="0" fontId="16" fillId="0" borderId="19" xfId="0" applyNumberFormat="1" applyFont="1" applyFill="1" applyBorder="1" applyAlignment="1" applyProtection="1">
      <alignment horizontal="left"/>
    </xf>
    <xf numFmtId="169" fontId="16" fillId="0" borderId="58" xfId="0" applyNumberFormat="1" applyFont="1" applyFill="1" applyBorder="1" applyAlignment="1" applyProtection="1">
      <alignment horizontal="centerContinuous"/>
    </xf>
    <xf numFmtId="169" fontId="16" fillId="0" borderId="97" xfId="0" applyNumberFormat="1" applyFont="1" applyFill="1" applyBorder="1" applyAlignment="1" applyProtection="1">
      <alignment horizontal="centerContinuous"/>
    </xf>
    <xf numFmtId="0" fontId="16" fillId="0" borderId="98" xfId="0" applyNumberFormat="1" applyFont="1" applyFill="1" applyBorder="1" applyAlignment="1" applyProtection="1">
      <alignment horizontal="left"/>
    </xf>
    <xf numFmtId="0" fontId="16" fillId="0" borderId="21" xfId="0" applyFont="1" applyFill="1" applyBorder="1" applyAlignment="1" applyProtection="1">
      <alignment horizontal="left"/>
    </xf>
    <xf numFmtId="0" fontId="16" fillId="0" borderId="56" xfId="0" applyNumberFormat="1" applyFont="1" applyFill="1" applyBorder="1" applyAlignment="1" applyProtection="1">
      <alignment horizontal="left"/>
    </xf>
    <xf numFmtId="16" fontId="16" fillId="0" borderId="56" xfId="0" applyNumberFormat="1" applyFont="1" applyFill="1" applyBorder="1" applyAlignment="1" applyProtection="1">
      <alignment horizontal="left"/>
    </xf>
    <xf numFmtId="0" fontId="16" fillId="0" borderId="98" xfId="0" applyFont="1" applyFill="1" applyBorder="1" applyAlignment="1" applyProtection="1">
      <alignment horizontal="left"/>
    </xf>
    <xf numFmtId="0" fontId="16" fillId="0" borderId="21" xfId="0" applyFont="1" applyFill="1" applyBorder="1" applyAlignment="1" applyProtection="1">
      <alignment horizontal="center"/>
    </xf>
    <xf numFmtId="0" fontId="16" fillId="0" borderId="20" xfId="0" applyFont="1" applyFill="1" applyBorder="1" applyAlignment="1" applyProtection="1">
      <alignment horizontal="left"/>
    </xf>
    <xf numFmtId="0" fontId="16" fillId="0" borderId="16" xfId="0" applyFont="1" applyFill="1" applyBorder="1" applyAlignment="1" applyProtection="1">
      <alignment horizontal="centerContinuous"/>
    </xf>
    <xf numFmtId="0" fontId="16" fillId="0" borderId="18" xfId="0" applyFont="1" applyFill="1" applyBorder="1" applyAlignment="1" applyProtection="1">
      <alignment horizontal="centerContinuous"/>
    </xf>
    <xf numFmtId="0" fontId="7" fillId="0" borderId="17" xfId="0" applyFont="1" applyFill="1" applyBorder="1" applyAlignment="1" applyProtection="1"/>
    <xf numFmtId="0" fontId="16" fillId="0" borderId="50" xfId="0" applyFont="1" applyFill="1" applyBorder="1" applyAlignment="1" applyProtection="1">
      <alignment horizontal="centerContinuous"/>
    </xf>
    <xf numFmtId="0" fontId="16" fillId="0" borderId="0" xfId="0" applyFont="1" applyFill="1" applyAlignment="1" applyProtection="1">
      <alignment horizontal="centerContinuous"/>
    </xf>
    <xf numFmtId="0" fontId="7" fillId="0" borderId="51" xfId="0" applyFont="1" applyFill="1" applyBorder="1" applyAlignment="1" applyProtection="1"/>
    <xf numFmtId="0" fontId="16" fillId="0" borderId="91" xfId="0" applyNumberFormat="1" applyFont="1" applyFill="1" applyBorder="1" applyAlignment="1" applyProtection="1">
      <alignment horizontal="center"/>
    </xf>
    <xf numFmtId="0" fontId="16" fillId="0" borderId="99" xfId="0" applyNumberFormat="1" applyFont="1" applyFill="1" applyBorder="1" applyAlignment="1" applyProtection="1">
      <alignment horizontal="center"/>
    </xf>
    <xf numFmtId="0" fontId="16" fillId="0" borderId="92" xfId="0" applyNumberFormat="1" applyFont="1" applyFill="1" applyBorder="1" applyAlignment="1" applyProtection="1">
      <alignment horizontal="center"/>
    </xf>
    <xf numFmtId="0" fontId="16" fillId="0" borderId="42" xfId="0" applyFont="1" applyFill="1" applyBorder="1" applyAlignment="1" applyProtection="1"/>
    <xf numFmtId="0" fontId="16" fillId="0" borderId="43" xfId="0" applyFont="1" applyFill="1" applyBorder="1" applyAlignment="1" applyProtection="1"/>
    <xf numFmtId="0" fontId="16" fillId="0" borderId="43" xfId="0" applyFont="1" applyFill="1" applyBorder="1" applyAlignment="1" applyProtection="1">
      <alignment horizontal="right"/>
    </xf>
    <xf numFmtId="0" fontId="16" fillId="0" borderId="43" xfId="0" applyNumberFormat="1" applyFont="1" applyFill="1" applyBorder="1" applyAlignment="1" applyProtection="1">
      <alignment horizontal="center"/>
    </xf>
    <xf numFmtId="0" fontId="16" fillId="0" borderId="43" xfId="0" applyNumberFormat="1" applyFont="1" applyFill="1" applyBorder="1" applyAlignment="1" applyProtection="1">
      <alignment horizontal="centerContinuous"/>
    </xf>
    <xf numFmtId="0" fontId="16" fillId="0" borderId="45" xfId="0" applyFont="1" applyFill="1" applyBorder="1" applyAlignment="1" applyProtection="1"/>
    <xf numFmtId="0" fontId="16" fillId="0" borderId="46" xfId="0" applyFont="1" applyFill="1" applyBorder="1" applyAlignment="1" applyProtection="1"/>
    <xf numFmtId="0" fontId="16" fillId="0" borderId="47" xfId="0" applyFont="1" applyFill="1" applyBorder="1" applyAlignment="1" applyProtection="1">
      <alignment horizontal="right"/>
    </xf>
    <xf numFmtId="0" fontId="16" fillId="0" borderId="100" xfId="0" applyNumberFormat="1" applyFont="1" applyFill="1" applyBorder="1" applyAlignment="1" applyProtection="1">
      <alignment horizontal="center"/>
    </xf>
    <xf numFmtId="0" fontId="16" fillId="0" borderId="32" xfId="0" applyFont="1" applyFill="1" applyBorder="1" applyAlignment="1" applyProtection="1"/>
    <xf numFmtId="0" fontId="16" fillId="0" borderId="33" xfId="0" applyFont="1" applyFill="1" applyBorder="1" applyAlignment="1" applyProtection="1"/>
    <xf numFmtId="0" fontId="16" fillId="0" borderId="34" xfId="0" applyFont="1" applyFill="1" applyBorder="1" applyAlignment="1" applyProtection="1">
      <alignment horizontal="right"/>
    </xf>
    <xf numFmtId="1" fontId="7" fillId="0" borderId="34" xfId="0" applyNumberFormat="1" applyFont="1" applyFill="1" applyBorder="1" applyAlignment="1" applyProtection="1">
      <alignment horizontal="right"/>
    </xf>
    <xf numFmtId="0" fontId="16" fillId="0" borderId="37" xfId="0" applyFont="1" applyFill="1" applyBorder="1" applyAlignment="1" applyProtection="1"/>
    <xf numFmtId="0" fontId="16" fillId="0" borderId="38" xfId="0" applyFont="1" applyFill="1" applyBorder="1" applyAlignment="1" applyProtection="1"/>
    <xf numFmtId="0" fontId="16" fillId="0" borderId="39" xfId="0" applyFont="1" applyFill="1" applyBorder="1" applyAlignment="1" applyProtection="1">
      <alignment horizontal="right"/>
    </xf>
    <xf numFmtId="1" fontId="7" fillId="0" borderId="39" xfId="0" applyNumberFormat="1" applyFont="1" applyFill="1" applyBorder="1" applyAlignment="1" applyProtection="1">
      <alignment horizontal="right"/>
    </xf>
    <xf numFmtId="167" fontId="16" fillId="0" borderId="43" xfId="0" applyNumberFormat="1" applyFont="1" applyFill="1" applyBorder="1" applyAlignment="1" applyProtection="1">
      <alignment horizontal="center"/>
    </xf>
    <xf numFmtId="0" fontId="16" fillId="0" borderId="44" xfId="0" applyNumberFormat="1" applyFont="1" applyFill="1" applyBorder="1" applyAlignment="1" applyProtection="1">
      <alignment horizontal="center"/>
    </xf>
    <xf numFmtId="1" fontId="7" fillId="0" borderId="34" xfId="0" applyNumberFormat="1" applyFont="1" applyFill="1" applyBorder="1" applyAlignment="1" applyProtection="1">
      <alignment horizontal="center"/>
    </xf>
    <xf numFmtId="0" fontId="16" fillId="0" borderId="22" xfId="0" applyFont="1" applyFill="1" applyBorder="1" applyAlignment="1" applyProtection="1"/>
    <xf numFmtId="0" fontId="16" fillId="0" borderId="23" xfId="0" applyFont="1" applyFill="1" applyBorder="1" applyAlignment="1" applyProtection="1"/>
    <xf numFmtId="0" fontId="16" fillId="0" borderId="24" xfId="0" applyFont="1" applyFill="1" applyBorder="1" applyAlignment="1" applyProtection="1">
      <alignment horizontal="right"/>
    </xf>
    <xf numFmtId="167" fontId="16" fillId="0" borderId="33" xfId="0" applyNumberFormat="1" applyFont="1" applyFill="1" applyBorder="1" applyAlignment="1" applyProtection="1"/>
    <xf numFmtId="167" fontId="7" fillId="0" borderId="47" xfId="0" applyNumberFormat="1" applyFont="1" applyFill="1" applyBorder="1" applyAlignment="1" applyProtection="1">
      <alignment horizontal="center"/>
    </xf>
    <xf numFmtId="167" fontId="7" fillId="0" borderId="34" xfId="0" applyNumberFormat="1" applyFont="1" applyFill="1" applyBorder="1" applyAlignment="1" applyProtection="1">
      <alignment horizontal="center"/>
    </xf>
    <xf numFmtId="0" fontId="51" fillId="0" borderId="39" xfId="0" applyFont="1" applyFill="1" applyBorder="1" applyAlignment="1" applyProtection="1">
      <alignment horizontal="right"/>
    </xf>
    <xf numFmtId="167" fontId="7" fillId="0" borderId="39" xfId="0" applyNumberFormat="1" applyFont="1" applyFill="1" applyBorder="1" applyAlignment="1" applyProtection="1">
      <alignment horizontal="center"/>
    </xf>
    <xf numFmtId="0" fontId="16" fillId="0" borderId="50" xfId="0" applyFont="1" applyFill="1" applyBorder="1" applyAlignment="1" applyProtection="1"/>
    <xf numFmtId="0" fontId="16" fillId="0" borderId="0" xfId="0" applyFont="1" applyFill="1" applyBorder="1" applyAlignment="1" applyProtection="1"/>
    <xf numFmtId="0" fontId="16" fillId="0" borderId="0" xfId="0" applyFont="1" applyFill="1" applyBorder="1" applyAlignment="1" applyProtection="1">
      <alignment horizontal="right"/>
    </xf>
    <xf numFmtId="167" fontId="7" fillId="0" borderId="0" xfId="0" applyNumberFormat="1" applyFont="1" applyFill="1" applyBorder="1" applyAlignment="1" applyProtection="1"/>
    <xf numFmtId="0" fontId="16" fillId="0" borderId="51" xfId="0" applyNumberFormat="1" applyFont="1" applyFill="1" applyBorder="1" applyAlignment="1" applyProtection="1">
      <alignment horizontal="center"/>
    </xf>
    <xf numFmtId="0" fontId="7" fillId="0" borderId="50" xfId="0" applyFont="1" applyFill="1" applyBorder="1" applyAlignment="1" applyProtection="1"/>
    <xf numFmtId="0" fontId="7" fillId="0" borderId="0" xfId="0" applyFont="1" applyFill="1" applyBorder="1" applyAlignment="1" applyProtection="1"/>
    <xf numFmtId="0" fontId="7" fillId="0" borderId="0" xfId="0" applyFont="1" applyFill="1" applyBorder="1" applyAlignment="1" applyProtection="1">
      <alignment horizontal="right"/>
    </xf>
    <xf numFmtId="0" fontId="7" fillId="0" borderId="51" xfId="0" applyFont="1" applyFill="1" applyBorder="1" applyAlignment="1" applyProtection="1">
      <alignment horizontal="center"/>
    </xf>
    <xf numFmtId="0" fontId="7" fillId="0" borderId="31" xfId="0" applyFont="1" applyFill="1" applyBorder="1" applyAlignment="1" applyProtection="1">
      <alignment horizontal="center"/>
    </xf>
    <xf numFmtId="0" fontId="16" fillId="0" borderId="23" xfId="0" applyFont="1" applyFill="1" applyBorder="1" applyAlignment="1" applyProtection="1">
      <alignment horizontal="left"/>
    </xf>
    <xf numFmtId="0" fontId="16" fillId="0" borderId="26" xfId="0" applyFont="1" applyFill="1" applyBorder="1" applyAlignment="1" applyProtection="1">
      <alignment horizontal="left"/>
    </xf>
    <xf numFmtId="0" fontId="16" fillId="0" borderId="28" xfId="0" applyFont="1" applyFill="1" applyBorder="1" applyAlignment="1" applyProtection="1">
      <alignment horizontal="left"/>
    </xf>
    <xf numFmtId="0" fontId="16" fillId="0" borderId="31" xfId="0" applyFont="1" applyFill="1" applyBorder="1" applyAlignment="1" applyProtection="1">
      <alignment horizontal="left"/>
    </xf>
    <xf numFmtId="0" fontId="16" fillId="0" borderId="101" xfId="0" applyNumberFormat="1" applyFont="1" applyFill="1" applyBorder="1" applyAlignment="1" applyProtection="1">
      <alignment horizontal="left"/>
    </xf>
    <xf numFmtId="0" fontId="16" fillId="0" borderId="0" xfId="0" applyFont="1" applyFill="1" applyAlignment="1" applyProtection="1">
      <alignment horizontal="left"/>
    </xf>
    <xf numFmtId="0" fontId="16" fillId="0" borderId="14" xfId="0" applyFont="1" applyFill="1" applyBorder="1" applyAlignment="1" applyProtection="1">
      <alignment horizontal="left"/>
    </xf>
    <xf numFmtId="0" fontId="16" fillId="0" borderId="0" xfId="0" applyFont="1" applyFill="1" applyBorder="1" applyAlignment="1" applyProtection="1">
      <alignment horizontal="left"/>
    </xf>
    <xf numFmtId="0" fontId="16" fillId="0" borderId="102" xfId="0" applyNumberFormat="1" applyFont="1" applyFill="1" applyBorder="1" applyAlignment="1" applyProtection="1">
      <alignment horizontal="left"/>
    </xf>
    <xf numFmtId="0" fontId="16" fillId="0" borderId="51" xfId="0" applyFont="1" applyFill="1" applyBorder="1" applyAlignment="1" applyProtection="1">
      <alignment horizontal="left"/>
    </xf>
    <xf numFmtId="0" fontId="16" fillId="0" borderId="55" xfId="0" applyNumberFormat="1" applyFont="1" applyFill="1" applyBorder="1" applyAlignment="1" applyProtection="1">
      <alignment horizontal="left"/>
    </xf>
    <xf numFmtId="0" fontId="16" fillId="0" borderId="58" xfId="0" applyNumberFormat="1" applyFont="1" applyFill="1" applyBorder="1" applyAlignment="1" applyProtection="1">
      <alignment horizontal="left"/>
    </xf>
    <xf numFmtId="0" fontId="16" fillId="0" borderId="57" xfId="0" applyFont="1" applyFill="1" applyBorder="1" applyAlignment="1" applyProtection="1">
      <alignment horizontal="left"/>
    </xf>
    <xf numFmtId="0" fontId="16" fillId="0" borderId="58" xfId="0" applyFont="1" applyFill="1" applyBorder="1" applyAlignment="1" applyProtection="1">
      <alignment horizontal="left"/>
    </xf>
    <xf numFmtId="0" fontId="16" fillId="0" borderId="57" xfId="0" applyFont="1" applyFill="1" applyBorder="1" applyAlignment="1" applyProtection="1">
      <alignment horizontal="center"/>
    </xf>
    <xf numFmtId="0" fontId="16" fillId="0" borderId="59" xfId="0" applyFont="1" applyFill="1" applyBorder="1" applyAlignment="1" applyProtection="1">
      <alignment horizontal="left"/>
    </xf>
    <xf numFmtId="0" fontId="20" fillId="0" borderId="61" xfId="0" applyNumberFormat="1" applyFont="1" applyFill="1" applyBorder="1" applyAlignment="1" applyProtection="1"/>
    <xf numFmtId="0" fontId="20" fillId="0" borderId="62" xfId="0" applyNumberFormat="1" applyFont="1" applyFill="1" applyBorder="1" applyAlignment="1" applyProtection="1"/>
    <xf numFmtId="14" fontId="16" fillId="0" borderId="21" xfId="0" applyNumberFormat="1" applyFont="1" applyFill="1" applyBorder="1" applyAlignment="1" applyProtection="1">
      <alignment horizontal="left"/>
    </xf>
    <xf numFmtId="0" fontId="52" fillId="0" borderId="0" xfId="0" applyFont="1"/>
    <xf numFmtId="2" fontId="20" fillId="0" borderId="34" xfId="0" applyNumberFormat="1" applyFont="1" applyFill="1" applyBorder="1" applyAlignment="1" applyProtection="1"/>
    <xf numFmtId="2" fontId="20" fillId="0" borderId="62" xfId="0" applyNumberFormat="1" applyFont="1" applyBorder="1" applyAlignment="1">
      <alignment horizontal="right"/>
    </xf>
    <xf numFmtId="0" fontId="7" fillId="0" borderId="35" xfId="0" applyFont="1" applyFill="1" applyBorder="1" applyAlignment="1" applyProtection="1"/>
    <xf numFmtId="1" fontId="20" fillId="0" borderId="47" xfId="0" applyNumberFormat="1" applyFont="1" applyFill="1" applyBorder="1" applyAlignment="1" applyProtection="1"/>
    <xf numFmtId="1" fontId="20" fillId="0" borderId="34" xfId="0" applyNumberFormat="1" applyFont="1" applyFill="1" applyBorder="1" applyAlignment="1" applyProtection="1"/>
    <xf numFmtId="167" fontId="20" fillId="0" borderId="90" xfId="0" applyNumberFormat="1" applyFont="1" applyFill="1" applyBorder="1" applyAlignment="1" applyProtection="1"/>
    <xf numFmtId="167" fontId="20" fillId="0" borderId="34" xfId="0" applyNumberFormat="1" applyFont="1" applyFill="1" applyBorder="1" applyAlignment="1" applyProtection="1"/>
    <xf numFmtId="3" fontId="7" fillId="0" borderId="0" xfId="0" applyNumberFormat="1" applyFont="1"/>
    <xf numFmtId="1" fontId="20" fillId="0" borderId="39" xfId="0" applyNumberFormat="1" applyFont="1" applyFill="1" applyBorder="1" applyAlignment="1" applyProtection="1"/>
    <xf numFmtId="3" fontId="52" fillId="0" borderId="0" xfId="0" applyNumberFormat="1" applyFont="1"/>
    <xf numFmtId="167" fontId="20" fillId="0" borderId="47" xfId="0" applyNumberFormat="1" applyFont="1" applyFill="1" applyBorder="1" applyAlignment="1" applyProtection="1"/>
    <xf numFmtId="167" fontId="20" fillId="0" borderId="46" xfId="0" applyNumberFormat="1" applyFont="1" applyFill="1" applyBorder="1" applyAlignment="1" applyProtection="1"/>
    <xf numFmtId="167" fontId="20" fillId="0" borderId="39" xfId="0" applyNumberFormat="1" applyFont="1" applyFill="1" applyBorder="1" applyAlignment="1" applyProtection="1"/>
    <xf numFmtId="2" fontId="20" fillId="0" borderId="39" xfId="0" applyNumberFormat="1" applyFont="1" applyFill="1" applyBorder="1" applyAlignment="1" applyProtection="1"/>
    <xf numFmtId="2" fontId="20" fillId="0" borderId="24" xfId="0" applyNumberFormat="1" applyFont="1" applyFill="1" applyBorder="1" applyAlignment="1" applyProtection="1"/>
    <xf numFmtId="0" fontId="16" fillId="0" borderId="103" xfId="0" applyNumberFormat="1" applyFont="1" applyFill="1" applyBorder="1" applyAlignment="1" applyProtection="1">
      <alignment horizontal="right"/>
    </xf>
    <xf numFmtId="0" fontId="16" fillId="0" borderId="104" xfId="0" applyNumberFormat="1" applyFont="1" applyFill="1" applyBorder="1" applyAlignment="1" applyProtection="1">
      <alignment horizontal="right"/>
    </xf>
    <xf numFmtId="0" fontId="20" fillId="0" borderId="105" xfId="0" applyNumberFormat="1" applyFont="1" applyFill="1" applyBorder="1" applyAlignment="1" applyProtection="1"/>
    <xf numFmtId="0" fontId="20" fillId="0" borderId="106" xfId="0" applyNumberFormat="1" applyFont="1" applyFill="1" applyBorder="1" applyAlignment="1" applyProtection="1"/>
    <xf numFmtId="167" fontId="20" fillId="0" borderId="24" xfId="0" applyNumberFormat="1" applyFont="1" applyFill="1" applyBorder="1" applyAlignment="1" applyProtection="1">
      <alignment horizontal="right"/>
    </xf>
    <xf numFmtId="2" fontId="20" fillId="0" borderId="62" xfId="0" applyNumberFormat="1" applyFont="1" applyFill="1" applyBorder="1" applyAlignment="1" applyProtection="1"/>
    <xf numFmtId="2" fontId="20" fillId="0" borderId="63" xfId="0" applyNumberFormat="1" applyFont="1" applyFill="1" applyBorder="1" applyAlignment="1" applyProtection="1"/>
    <xf numFmtId="0" fontId="17" fillId="0" borderId="24" xfId="0" applyNumberFormat="1" applyFont="1" applyFill="1" applyBorder="1" applyAlignment="1" applyProtection="1">
      <protection locked="0"/>
    </xf>
    <xf numFmtId="0" fontId="17" fillId="0" borderId="34" xfId="0" applyNumberFormat="1" applyFont="1" applyFill="1" applyBorder="1" applyAlignment="1" applyProtection="1">
      <protection locked="0"/>
    </xf>
    <xf numFmtId="0" fontId="17" fillId="0" borderId="39" xfId="0" applyNumberFormat="1" applyFont="1" applyFill="1" applyBorder="1" applyAlignment="1" applyProtection="1">
      <protection locked="0"/>
    </xf>
    <xf numFmtId="0" fontId="17" fillId="0" borderId="90" xfId="0" applyNumberFormat="1" applyFont="1" applyFill="1" applyBorder="1" applyAlignment="1" applyProtection="1">
      <protection locked="0"/>
    </xf>
    <xf numFmtId="0" fontId="17" fillId="0" borderId="63" xfId="0" applyNumberFormat="1" applyFont="1" applyFill="1" applyBorder="1" applyAlignment="1" applyProtection="1">
      <protection locked="0"/>
    </xf>
    <xf numFmtId="0" fontId="17" fillId="0" borderId="29" xfId="0" applyNumberFormat="1" applyFont="1" applyFill="1" applyBorder="1" applyAlignment="1" applyProtection="1">
      <protection locked="0"/>
    </xf>
    <xf numFmtId="0" fontId="17" fillId="0" borderId="61" xfId="0" applyNumberFormat="1" applyFont="1" applyFill="1" applyBorder="1" applyAlignment="1" applyProtection="1">
      <protection locked="0"/>
    </xf>
    <xf numFmtId="0" fontId="17" fillId="0" borderId="62" xfId="0" applyNumberFormat="1" applyFont="1" applyFill="1" applyBorder="1" applyAlignment="1" applyProtection="1">
      <protection locked="0"/>
    </xf>
    <xf numFmtId="1" fontId="17" fillId="0" borderId="34" xfId="0" applyNumberFormat="1" applyFont="1" applyFill="1" applyBorder="1" applyAlignment="1" applyProtection="1">
      <protection locked="0"/>
    </xf>
    <xf numFmtId="2" fontId="17" fillId="0" borderId="34" xfId="0" applyNumberFormat="1" applyFont="1" applyFill="1" applyBorder="1" applyAlignment="1" applyProtection="1">
      <protection locked="0"/>
    </xf>
    <xf numFmtId="0" fontId="17" fillId="0" borderId="29" xfId="0" applyFont="1" applyFill="1" applyBorder="1" applyAlignment="1" applyProtection="1">
      <protection locked="0"/>
    </xf>
    <xf numFmtId="0" fontId="17" fillId="0" borderId="34" xfId="0" applyFont="1" applyFill="1" applyBorder="1" applyAlignment="1" applyProtection="1">
      <protection locked="0"/>
    </xf>
    <xf numFmtId="0" fontId="53" fillId="0" borderId="36" xfId="0" applyFont="1" applyFill="1" applyBorder="1" applyAlignment="1" applyProtection="1">
      <protection locked="0"/>
    </xf>
    <xf numFmtId="1" fontId="17" fillId="0" borderId="62" xfId="0" applyNumberFormat="1" applyFont="1" applyFill="1" applyBorder="1" applyAlignment="1" applyProtection="1">
      <alignment horizontal="right"/>
      <protection locked="0"/>
    </xf>
    <xf numFmtId="2" fontId="17" fillId="0" borderId="39" xfId="0" applyNumberFormat="1" applyFont="1" applyFill="1" applyBorder="1" applyAlignment="1" applyProtection="1">
      <protection locked="0"/>
    </xf>
    <xf numFmtId="0" fontId="17" fillId="0" borderId="24" xfId="0" applyFont="1" applyFill="1" applyBorder="1" applyAlignment="1" applyProtection="1">
      <protection locked="0"/>
    </xf>
    <xf numFmtId="0" fontId="16" fillId="0" borderId="16" xfId="38" applyFont="1" applyBorder="1" applyAlignment="1">
      <alignment horizontal="centerContinuous"/>
    </xf>
    <xf numFmtId="0" fontId="16" fillId="0" borderId="17" xfId="38" applyFont="1" applyBorder="1" applyAlignment="1">
      <alignment horizontal="centerContinuous"/>
    </xf>
    <xf numFmtId="0" fontId="16" fillId="0" borderId="18" xfId="38" applyFont="1" applyBorder="1" applyAlignment="1">
      <alignment horizontal="centerContinuous"/>
    </xf>
    <xf numFmtId="0" fontId="16" fillId="0" borderId="0" xfId="38" applyFont="1"/>
    <xf numFmtId="0" fontId="16" fillId="0" borderId="19" xfId="38" applyFont="1" applyBorder="1" applyAlignment="1">
      <alignment horizontal="centerContinuous"/>
    </xf>
    <xf numFmtId="0" fontId="16" fillId="0" borderId="20" xfId="38" applyFont="1" applyBorder="1" applyAlignment="1">
      <alignment horizontal="centerContinuous"/>
    </xf>
    <xf numFmtId="0" fontId="16" fillId="0" borderId="21" xfId="38" applyFont="1" applyBorder="1" applyAlignment="1">
      <alignment horizontal="centerContinuous"/>
    </xf>
    <xf numFmtId="0" fontId="16" fillId="0" borderId="22" xfId="38" applyFont="1" applyBorder="1" applyAlignment="1">
      <alignment horizontal="left"/>
    </xf>
    <xf numFmtId="0" fontId="16" fillId="0" borderId="23" xfId="38" applyFont="1" applyBorder="1"/>
    <xf numFmtId="0" fontId="16" fillId="0" borderId="24" xfId="38" applyFont="1" applyBorder="1" applyAlignment="1">
      <alignment horizontal="right"/>
    </xf>
    <xf numFmtId="0" fontId="16" fillId="0" borderId="25" xfId="38" applyFont="1" applyBorder="1"/>
    <xf numFmtId="0" fontId="16" fillId="0" borderId="26" xfId="38" applyFont="1" applyBorder="1"/>
    <xf numFmtId="0" fontId="16" fillId="0" borderId="32" xfId="38" applyFont="1" applyBorder="1" applyAlignment="1">
      <alignment horizontal="left"/>
    </xf>
    <xf numFmtId="0" fontId="16" fillId="0" borderId="33" xfId="38" applyFont="1" applyBorder="1"/>
    <xf numFmtId="0" fontId="16" fillId="0" borderId="34" xfId="38" applyFont="1" applyBorder="1" applyAlignment="1">
      <alignment horizontal="right"/>
    </xf>
    <xf numFmtId="0" fontId="16" fillId="0" borderId="35" xfId="38" applyFont="1" applyBorder="1"/>
    <xf numFmtId="0" fontId="16" fillId="0" borderId="36" xfId="38" applyFont="1" applyBorder="1"/>
    <xf numFmtId="0" fontId="7" fillId="0" borderId="33" xfId="38" applyFont="1" applyBorder="1"/>
    <xf numFmtId="0" fontId="16" fillId="0" borderId="37" xfId="38" applyFont="1" applyBorder="1"/>
    <xf numFmtId="0" fontId="16" fillId="0" borderId="38" xfId="38" applyFont="1" applyBorder="1"/>
    <xf numFmtId="0" fontId="16" fillId="0" borderId="39" xfId="38" applyFont="1" applyBorder="1" applyAlignment="1">
      <alignment horizontal="right"/>
    </xf>
    <xf numFmtId="0" fontId="16" fillId="0" borderId="40" xfId="38" applyFont="1" applyBorder="1"/>
    <xf numFmtId="0" fontId="16" fillId="0" borderId="41" xfId="38" applyFont="1" applyBorder="1"/>
    <xf numFmtId="0" fontId="16" fillId="0" borderId="42" xfId="38" applyFont="1" applyBorder="1"/>
    <xf numFmtId="0" fontId="16" fillId="0" borderId="43" xfId="38" applyFont="1" applyBorder="1"/>
    <xf numFmtId="0" fontId="16" fillId="0" borderId="43" xfId="38" applyFont="1" applyBorder="1" applyAlignment="1">
      <alignment horizontal="right"/>
    </xf>
    <xf numFmtId="0" fontId="7" fillId="0" borderId="43" xfId="38" applyFont="1" applyBorder="1"/>
    <xf numFmtId="0" fontId="16" fillId="0" borderId="44" xfId="38" applyFont="1" applyBorder="1"/>
    <xf numFmtId="0" fontId="16" fillId="0" borderId="45" xfId="38" applyFont="1" applyBorder="1"/>
    <xf numFmtId="0" fontId="16" fillId="0" borderId="46" xfId="38" applyFont="1" applyBorder="1"/>
    <xf numFmtId="0" fontId="16" fillId="0" borderId="47" xfId="38" applyFont="1" applyBorder="1" applyAlignment="1">
      <alignment horizontal="right"/>
    </xf>
    <xf numFmtId="0" fontId="16" fillId="0" borderId="48" xfId="38" applyFont="1" applyBorder="1"/>
    <xf numFmtId="0" fontId="16" fillId="0" borderId="49" xfId="38" applyFont="1" applyBorder="1"/>
    <xf numFmtId="0" fontId="16" fillId="0" borderId="32" xfId="38" applyFont="1" applyBorder="1"/>
    <xf numFmtId="0" fontId="16" fillId="0" borderId="46" xfId="38" applyFont="1" applyBorder="1" applyAlignment="1">
      <alignment horizontal="right"/>
    </xf>
    <xf numFmtId="0" fontId="54" fillId="0" borderId="33" xfId="38" applyFont="1" applyBorder="1"/>
    <xf numFmtId="0" fontId="55" fillId="0" borderId="0" xfId="38" applyFont="1"/>
    <xf numFmtId="0" fontId="7" fillId="0" borderId="38" xfId="38" applyFont="1" applyBorder="1"/>
    <xf numFmtId="0" fontId="16" fillId="0" borderId="50" xfId="38" applyFont="1" applyBorder="1"/>
    <xf numFmtId="0" fontId="16" fillId="0" borderId="0" xfId="38" applyFont="1" applyBorder="1"/>
    <xf numFmtId="0" fontId="16" fillId="0" borderId="107" xfId="38" applyFont="1" applyBorder="1" applyAlignment="1">
      <alignment horizontal="right"/>
    </xf>
    <xf numFmtId="0" fontId="7" fillId="0" borderId="0" xfId="38" applyFont="1" applyBorder="1"/>
    <xf numFmtId="0" fontId="16" fillId="0" borderId="51" xfId="38" applyFont="1" applyBorder="1"/>
    <xf numFmtId="0" fontId="16" fillId="0" borderId="38" xfId="38" applyFont="1" applyBorder="1" applyAlignment="1">
      <alignment horizontal="right"/>
    </xf>
    <xf numFmtId="0" fontId="16" fillId="0" borderId="27" xfId="38" applyFont="1" applyBorder="1"/>
    <xf numFmtId="0" fontId="16" fillId="0" borderId="28" xfId="38" applyFont="1" applyBorder="1"/>
    <xf numFmtId="0" fontId="16" fillId="0" borderId="28" xfId="38" applyFont="1" applyBorder="1" applyAlignment="1">
      <alignment horizontal="right"/>
    </xf>
    <xf numFmtId="0" fontId="7" fillId="0" borderId="28" xfId="38" applyFont="1" applyBorder="1"/>
    <xf numFmtId="0" fontId="16" fillId="0" borderId="31" xfId="38" applyFont="1" applyBorder="1"/>
    <xf numFmtId="0" fontId="16" fillId="0" borderId="33" xfId="38" applyFont="1" applyBorder="1" applyAlignment="1">
      <alignment horizontal="right"/>
    </xf>
    <xf numFmtId="0" fontId="16" fillId="0" borderId="52" xfId="38" applyFont="1" applyBorder="1"/>
    <xf numFmtId="0" fontId="16" fillId="0" borderId="55" xfId="38" applyFont="1" applyBorder="1"/>
    <xf numFmtId="0" fontId="16" fillId="0" borderId="57" xfId="38" applyFont="1" applyBorder="1"/>
    <xf numFmtId="0" fontId="16" fillId="0" borderId="57" xfId="38" applyFont="1" applyBorder="1" applyAlignment="1">
      <alignment horizontal="right"/>
    </xf>
    <xf numFmtId="2" fontId="7" fillId="0" borderId="57" xfId="38" applyNumberFormat="1" applyFont="1" applyBorder="1"/>
    <xf numFmtId="0" fontId="7" fillId="0" borderId="57" xfId="38" applyFont="1" applyBorder="1"/>
    <xf numFmtId="0" fontId="16" fillId="0" borderId="59" xfId="38" applyFont="1" applyBorder="1"/>
    <xf numFmtId="0" fontId="16" fillId="0" borderId="93" xfId="38" applyFont="1" applyBorder="1" applyAlignment="1">
      <alignment horizontal="left"/>
    </xf>
    <xf numFmtId="0" fontId="16" fillId="0" borderId="23" xfId="38" applyFont="1" applyBorder="1" applyAlignment="1">
      <alignment horizontal="left"/>
    </xf>
    <xf numFmtId="0" fontId="16" fillId="0" borderId="90" xfId="38" applyFont="1" applyBorder="1" applyAlignment="1">
      <alignment horizontal="left"/>
    </xf>
    <xf numFmtId="0" fontId="16" fillId="0" borderId="26" xfId="38" applyFont="1" applyBorder="1" applyAlignment="1">
      <alignment horizontal="left"/>
    </xf>
    <xf numFmtId="0" fontId="16" fillId="0" borderId="108" xfId="38" applyFont="1" applyBorder="1" applyAlignment="1">
      <alignment horizontal="left"/>
    </xf>
    <xf numFmtId="0" fontId="16" fillId="0" borderId="33" xfId="38" applyFont="1" applyBorder="1" applyAlignment="1">
      <alignment horizontal="left"/>
    </xf>
    <xf numFmtId="0" fontId="16" fillId="0" borderId="62" xfId="38" applyFont="1" applyBorder="1" applyAlignment="1">
      <alignment horizontal="left"/>
    </xf>
    <xf numFmtId="0" fontId="16" fillId="0" borderId="36" xfId="38" applyFont="1" applyBorder="1" applyAlignment="1">
      <alignment horizontal="left"/>
    </xf>
    <xf numFmtId="0" fontId="16" fillId="0" borderId="109" xfId="38" applyFont="1" applyBorder="1" applyAlignment="1">
      <alignment horizontal="left"/>
    </xf>
    <xf numFmtId="0" fontId="16" fillId="0" borderId="38" xfId="38" applyFont="1" applyBorder="1" applyAlignment="1">
      <alignment horizontal="left"/>
    </xf>
    <xf numFmtId="0" fontId="16" fillId="0" borderId="63" xfId="38" applyFont="1" applyBorder="1" applyAlignment="1">
      <alignment horizontal="left"/>
    </xf>
    <xf numFmtId="0" fontId="16" fillId="0" borderId="41" xfId="38" applyFont="1" applyBorder="1" applyAlignment="1">
      <alignment horizontal="left"/>
    </xf>
    <xf numFmtId="0" fontId="16" fillId="0" borderId="110" xfId="38" applyFont="1" applyBorder="1" applyAlignment="1">
      <alignment horizontal="left"/>
    </xf>
    <xf numFmtId="172" fontId="16" fillId="0" borderId="58" xfId="38" applyNumberFormat="1" applyFont="1" applyBorder="1" applyAlignment="1">
      <alignment horizontal="centerContinuous"/>
    </xf>
    <xf numFmtId="172" fontId="16" fillId="0" borderId="97" xfId="38" applyNumberFormat="1" applyFont="1" applyBorder="1" applyAlignment="1">
      <alignment horizontal="centerContinuous"/>
    </xf>
    <xf numFmtId="0" fontId="16" fillId="0" borderId="58" xfId="38" applyFont="1" applyBorder="1" applyAlignment="1">
      <alignment horizontal="left"/>
    </xf>
    <xf numFmtId="0" fontId="16" fillId="0" borderId="57" xfId="38" applyFont="1" applyBorder="1" applyAlignment="1">
      <alignment horizontal="left"/>
    </xf>
    <xf numFmtId="0" fontId="16" fillId="0" borderId="56" xfId="38" applyFont="1" applyBorder="1" applyAlignment="1">
      <alignment horizontal="left"/>
    </xf>
    <xf numFmtId="16" fontId="16" fillId="0" borderId="57" xfId="38" applyNumberFormat="1" applyFont="1" applyBorder="1" applyAlignment="1">
      <alignment horizontal="left"/>
    </xf>
    <xf numFmtId="0" fontId="16" fillId="0" borderId="59" xfId="38" applyFont="1" applyBorder="1" applyAlignment="1">
      <alignment horizontal="left"/>
    </xf>
    <xf numFmtId="0" fontId="16" fillId="0" borderId="42" xfId="38" applyFont="1" applyBorder="1" applyAlignment="1"/>
    <xf numFmtId="0" fontId="16" fillId="0" borderId="43" xfId="38" applyFont="1" applyBorder="1" applyAlignment="1"/>
    <xf numFmtId="0" fontId="16" fillId="0" borderId="43" xfId="38" applyFont="1" applyBorder="1" applyAlignment="1">
      <alignment horizontal="center"/>
    </xf>
    <xf numFmtId="0" fontId="16" fillId="0" borderId="43" xfId="38" applyFont="1" applyBorder="1" applyAlignment="1">
      <alignment horizontal="centerContinuous"/>
    </xf>
    <xf numFmtId="0" fontId="16" fillId="0" borderId="44" xfId="38" applyFont="1" applyBorder="1" applyAlignment="1">
      <alignment horizontal="center"/>
    </xf>
    <xf numFmtId="0" fontId="16" fillId="0" borderId="29" xfId="38" applyFont="1" applyBorder="1" applyAlignment="1">
      <alignment horizontal="right"/>
    </xf>
    <xf numFmtId="1" fontId="7" fillId="0" borderId="48" xfId="38" applyNumberFormat="1" applyFont="1" applyBorder="1"/>
    <xf numFmtId="1" fontId="16" fillId="0" borderId="46" xfId="38" applyNumberFormat="1" applyFont="1" applyBorder="1"/>
    <xf numFmtId="1" fontId="7" fillId="0" borderId="46" xfId="38" applyNumberFormat="1" applyFont="1" applyBorder="1"/>
    <xf numFmtId="1" fontId="7" fillId="0" borderId="30" xfId="38" applyNumberFormat="1" applyFont="1" applyBorder="1"/>
    <xf numFmtId="1" fontId="16" fillId="0" borderId="28" xfId="38" applyNumberFormat="1" applyFont="1" applyBorder="1"/>
    <xf numFmtId="1" fontId="7" fillId="0" borderId="28" xfId="38" applyNumberFormat="1" applyFont="1" applyBorder="1"/>
    <xf numFmtId="0" fontId="16" fillId="0" borderId="43" xfId="38" applyFont="1" applyBorder="1" applyAlignment="1">
      <alignment horizontal="centerContinuous" vertical="center"/>
    </xf>
    <xf numFmtId="1" fontId="7" fillId="0" borderId="61" xfId="38" applyNumberFormat="1" applyFont="1" applyBorder="1" applyAlignment="1">
      <alignment horizontal="right"/>
    </xf>
    <xf numFmtId="0" fontId="16" fillId="0" borderId="100" xfId="38" applyFont="1" applyBorder="1" applyAlignment="1">
      <alignment horizontal="center"/>
    </xf>
    <xf numFmtId="1" fontId="7" fillId="0" borderId="60" xfId="38" applyNumberFormat="1" applyFont="1" applyBorder="1" applyAlignment="1">
      <alignment horizontal="right"/>
    </xf>
    <xf numFmtId="0" fontId="16" fillId="0" borderId="111" xfId="38" applyFont="1" applyBorder="1" applyAlignment="1">
      <alignment horizontal="center"/>
    </xf>
    <xf numFmtId="0" fontId="16" fillId="0" borderId="99" xfId="38" applyFont="1" applyBorder="1" applyAlignment="1">
      <alignment horizontal="center"/>
    </xf>
    <xf numFmtId="1" fontId="7" fillId="0" borderId="63" xfId="38" applyNumberFormat="1" applyFont="1" applyBorder="1" applyAlignment="1">
      <alignment horizontal="right"/>
    </xf>
    <xf numFmtId="0" fontId="16" fillId="0" borderId="92" xfId="38" applyFont="1" applyBorder="1" applyAlignment="1">
      <alignment horizontal="center"/>
    </xf>
    <xf numFmtId="0" fontId="16" fillId="0" borderId="112" xfId="38" applyFont="1" applyBorder="1" applyAlignment="1">
      <alignment horizontal="center"/>
    </xf>
    <xf numFmtId="0" fontId="16" fillId="0" borderId="113" xfId="38" applyFont="1" applyBorder="1" applyAlignment="1">
      <alignment horizontal="center"/>
    </xf>
    <xf numFmtId="0" fontId="16" fillId="0" borderId="114" xfId="38" applyFont="1" applyBorder="1" applyAlignment="1">
      <alignment horizontal="center"/>
    </xf>
    <xf numFmtId="0" fontId="16" fillId="0" borderId="45" xfId="38" applyFont="1" applyBorder="1" applyAlignment="1"/>
    <xf numFmtId="0" fontId="16" fillId="0" borderId="46" xfId="38" applyFont="1" applyBorder="1" applyAlignment="1"/>
    <xf numFmtId="0" fontId="16" fillId="0" borderId="54" xfId="38" applyFont="1" applyBorder="1"/>
    <xf numFmtId="0" fontId="16" fillId="0" borderId="115" xfId="38" applyFont="1" applyBorder="1" applyAlignment="1">
      <alignment horizontal="right"/>
    </xf>
    <xf numFmtId="0" fontId="16" fillId="0" borderId="116" xfId="38" applyFont="1" applyBorder="1" applyAlignment="1">
      <alignment horizontal="center"/>
    </xf>
    <xf numFmtId="0" fontId="16" fillId="0" borderId="117" xfId="38" applyFont="1" applyBorder="1"/>
    <xf numFmtId="0" fontId="16" fillId="0" borderId="118" xfId="38" applyFont="1" applyBorder="1"/>
    <xf numFmtId="0" fontId="16" fillId="0" borderId="119" xfId="38" applyFont="1" applyBorder="1" applyAlignment="1">
      <alignment horizontal="right"/>
    </xf>
    <xf numFmtId="0" fontId="16" fillId="0" borderId="120" xfId="38" applyFont="1" applyBorder="1" applyAlignment="1">
      <alignment horizontal="center"/>
    </xf>
    <xf numFmtId="0" fontId="16" fillId="0" borderId="16" xfId="38" applyNumberFormat="1" applyFont="1" applyBorder="1" applyAlignment="1"/>
    <xf numFmtId="0" fontId="16" fillId="0" borderId="18" xfId="38" applyNumberFormat="1" applyFont="1" applyBorder="1" applyAlignment="1"/>
    <xf numFmtId="0" fontId="16" fillId="0" borderId="17" xfId="38" applyNumberFormat="1" applyFont="1" applyBorder="1" applyAlignment="1"/>
    <xf numFmtId="0" fontId="16" fillId="0" borderId="50" xfId="38" applyNumberFormat="1" applyFont="1" applyBorder="1" applyAlignment="1"/>
    <xf numFmtId="0" fontId="16" fillId="0" borderId="0" xfId="38" applyNumberFormat="1" applyFont="1" applyBorder="1" applyAlignment="1"/>
    <xf numFmtId="0" fontId="16" fillId="0" borderId="51" xfId="38" applyNumberFormat="1" applyFont="1" applyBorder="1" applyAlignment="1"/>
    <xf numFmtId="0" fontId="16" fillId="0" borderId="91" xfId="38" applyFont="1" applyBorder="1" applyAlignment="1">
      <alignment horizontal="center"/>
    </xf>
    <xf numFmtId="0" fontId="16" fillId="0" borderId="54" xfId="38" applyFont="1" applyBorder="1" applyAlignment="1">
      <alignment horizontal="right"/>
    </xf>
    <xf numFmtId="0" fontId="16" fillId="0" borderId="121" xfId="38" applyFont="1" applyBorder="1" applyAlignment="1">
      <alignment horizontal="center"/>
    </xf>
    <xf numFmtId="0" fontId="16" fillId="0" borderId="0" xfId="38" applyFont="1" applyBorder="1" applyAlignment="1">
      <alignment horizontal="right"/>
    </xf>
    <xf numFmtId="0" fontId="7" fillId="0" borderId="50" xfId="38" applyFont="1" applyBorder="1"/>
    <xf numFmtId="0" fontId="7" fillId="0" borderId="0" xfId="38" applyFont="1" applyBorder="1" applyAlignment="1">
      <alignment horizontal="right"/>
    </xf>
    <xf numFmtId="2" fontId="7" fillId="0" borderId="0" xfId="38" applyNumberFormat="1" applyFont="1" applyBorder="1"/>
    <xf numFmtId="0" fontId="16" fillId="0" borderId="51" xfId="38" applyFont="1" applyBorder="1" applyAlignment="1">
      <alignment horizontal="center"/>
    </xf>
    <xf numFmtId="0" fontId="56" fillId="0" borderId="0" xfId="38" applyFont="1" applyBorder="1"/>
    <xf numFmtId="0" fontId="7" fillId="0" borderId="0" xfId="38" applyFont="1" applyBorder="1" applyAlignment="1">
      <alignment horizontal="left"/>
    </xf>
    <xf numFmtId="0" fontId="16" fillId="0" borderId="16" xfId="0" applyFont="1" applyBorder="1" applyAlignment="1">
      <alignment horizontal="centerContinuous"/>
    </xf>
    <xf numFmtId="0" fontId="16" fillId="0" borderId="17" xfId="0" applyFont="1" applyBorder="1" applyAlignment="1">
      <alignment horizontal="centerContinuous"/>
    </xf>
    <xf numFmtId="0" fontId="16" fillId="0" borderId="18" xfId="0" applyFont="1" applyBorder="1" applyAlignment="1">
      <alignment horizontal="centerContinuous"/>
    </xf>
    <xf numFmtId="0" fontId="16" fillId="0" borderId="0" xfId="0" applyFont="1"/>
    <xf numFmtId="0" fontId="16" fillId="0" borderId="19" xfId="0" applyFont="1" applyBorder="1" applyAlignment="1">
      <alignment horizontal="centerContinuous"/>
    </xf>
    <xf numFmtId="0" fontId="16" fillId="0" borderId="20" xfId="0" applyFont="1" applyBorder="1" applyAlignment="1">
      <alignment horizontal="centerContinuous"/>
    </xf>
    <xf numFmtId="0" fontId="16" fillId="0" borderId="21" xfId="0" applyFont="1" applyBorder="1" applyAlignment="1">
      <alignment horizontal="centerContinuous"/>
    </xf>
    <xf numFmtId="0" fontId="16" fillId="0" borderId="22" xfId="0" applyFont="1" applyBorder="1" applyAlignment="1">
      <alignment horizontal="left"/>
    </xf>
    <xf numFmtId="0" fontId="16" fillId="0" borderId="28" xfId="0" applyFont="1" applyBorder="1"/>
    <xf numFmtId="0" fontId="16" fillId="0" borderId="29" xfId="0" applyFont="1" applyBorder="1" applyAlignment="1">
      <alignment horizontal="right"/>
    </xf>
    <xf numFmtId="0" fontId="16" fillId="0" borderId="31" xfId="0" applyFont="1" applyBorder="1"/>
    <xf numFmtId="0" fontId="16" fillId="0" borderId="27" xfId="0" applyFont="1" applyBorder="1" applyAlignment="1">
      <alignment horizontal="left"/>
    </xf>
    <xf numFmtId="0" fontId="16" fillId="0" borderId="37" xfId="0" applyFont="1" applyBorder="1"/>
    <xf numFmtId="0" fontId="16" fillId="0" borderId="38" xfId="0" applyFont="1" applyBorder="1"/>
    <xf numFmtId="0" fontId="16" fillId="0" borderId="39" xfId="0" applyFont="1" applyBorder="1" applyAlignment="1">
      <alignment horizontal="right"/>
    </xf>
    <xf numFmtId="0" fontId="16" fillId="0" borderId="41" xfId="0" applyFont="1" applyBorder="1"/>
    <xf numFmtId="0" fontId="16" fillId="0" borderId="27" xfId="0" applyFont="1" applyBorder="1"/>
    <xf numFmtId="0" fontId="16" fillId="0" borderId="50" xfId="0" applyFont="1" applyBorder="1"/>
    <xf numFmtId="0" fontId="16" fillId="0" borderId="0" xfId="0" applyFont="1" applyBorder="1"/>
    <xf numFmtId="0" fontId="16" fillId="0" borderId="107" xfId="0" applyFont="1" applyBorder="1" applyAlignment="1">
      <alignment horizontal="right"/>
    </xf>
    <xf numFmtId="0" fontId="16" fillId="0" borderId="51" xfId="0" applyFont="1" applyBorder="1"/>
    <xf numFmtId="0" fontId="16" fillId="0" borderId="42" xfId="0" applyFont="1" applyBorder="1"/>
    <xf numFmtId="0" fontId="16" fillId="0" borderId="43" xfId="0" applyFont="1" applyBorder="1"/>
    <xf numFmtId="0" fontId="16" fillId="0" borderId="43" xfId="0" applyFont="1" applyBorder="1" applyAlignment="1">
      <alignment horizontal="right"/>
    </xf>
    <xf numFmtId="0" fontId="7" fillId="0" borderId="43" xfId="0" applyFont="1" applyBorder="1"/>
    <xf numFmtId="0" fontId="16" fillId="0" borderId="44" xfId="0" applyFont="1" applyBorder="1"/>
    <xf numFmtId="0" fontId="16" fillId="0" borderId="45" xfId="0" applyFont="1" applyBorder="1"/>
    <xf numFmtId="0" fontId="16" fillId="0" borderId="46" xfId="0" applyFont="1" applyBorder="1"/>
    <xf numFmtId="0" fontId="16" fillId="0" borderId="46" xfId="0" applyFont="1" applyBorder="1" applyAlignment="1">
      <alignment horizontal="right"/>
    </xf>
    <xf numFmtId="0" fontId="16" fillId="0" borderId="49" xfId="0" applyFont="1" applyBorder="1"/>
    <xf numFmtId="0" fontId="16" fillId="0" borderId="28" xfId="0" applyFont="1" applyBorder="1" applyAlignment="1">
      <alignment horizontal="right"/>
    </xf>
    <xf numFmtId="0" fontId="16" fillId="0" borderId="33" xfId="0" applyFont="1" applyBorder="1" applyAlignment="1">
      <alignment horizontal="right"/>
    </xf>
    <xf numFmtId="0" fontId="16" fillId="0" borderId="33" xfId="0" applyFont="1" applyBorder="1"/>
    <xf numFmtId="0" fontId="16" fillId="0" borderId="36" xfId="0" applyFont="1" applyBorder="1"/>
    <xf numFmtId="0" fontId="7" fillId="0" borderId="33" xfId="0" applyFont="1" applyBorder="1"/>
    <xf numFmtId="0" fontId="16" fillId="0" borderId="32" xfId="0" applyFont="1" applyBorder="1"/>
    <xf numFmtId="0" fontId="16" fillId="0" borderId="52" xfId="0" applyFont="1" applyBorder="1"/>
    <xf numFmtId="0" fontId="16" fillId="0" borderId="54" xfId="0" applyFont="1" applyBorder="1"/>
    <xf numFmtId="0" fontId="16" fillId="0" borderId="54" xfId="0" applyFont="1" applyBorder="1" applyAlignment="1">
      <alignment horizontal="right"/>
    </xf>
    <xf numFmtId="0" fontId="16" fillId="0" borderId="122" xfId="0" applyFont="1" applyBorder="1"/>
    <xf numFmtId="0" fontId="16" fillId="0" borderId="38" xfId="0" applyFont="1" applyBorder="1" applyAlignment="1">
      <alignment horizontal="right"/>
    </xf>
    <xf numFmtId="0" fontId="7" fillId="0" borderId="38" xfId="0" applyFont="1" applyBorder="1"/>
    <xf numFmtId="0" fontId="7" fillId="0" borderId="28" xfId="0" applyFont="1" applyBorder="1"/>
    <xf numFmtId="0" fontId="7" fillId="0" borderId="0" xfId="0" applyFont="1" applyBorder="1"/>
    <xf numFmtId="0" fontId="16" fillId="0" borderId="123" xfId="0" applyFont="1" applyBorder="1"/>
    <xf numFmtId="0" fontId="16" fillId="0" borderId="15" xfId="0" applyFont="1" applyBorder="1"/>
    <xf numFmtId="0" fontId="16" fillId="0" borderId="124" xfId="0" applyFont="1" applyBorder="1" applyAlignment="1">
      <alignment horizontal="right"/>
    </xf>
    <xf numFmtId="0" fontId="7" fillId="0" borderId="15" xfId="0" applyFont="1" applyBorder="1"/>
    <xf numFmtId="0" fontId="16" fillId="0" borderId="125" xfId="0" applyFont="1" applyBorder="1"/>
    <xf numFmtId="0" fontId="7" fillId="0" borderId="16" xfId="0" applyFont="1" applyBorder="1"/>
    <xf numFmtId="0" fontId="7" fillId="0" borderId="18" xfId="0" applyFont="1" applyBorder="1"/>
    <xf numFmtId="0" fontId="7" fillId="0" borderId="18" xfId="0" applyFont="1" applyBorder="1" applyAlignment="1">
      <alignment horizontal="right"/>
    </xf>
    <xf numFmtId="0" fontId="7" fillId="0" borderId="17" xfId="0" applyFont="1" applyBorder="1"/>
    <xf numFmtId="0" fontId="7" fillId="0" borderId="50" xfId="0" applyFont="1" applyBorder="1"/>
    <xf numFmtId="0" fontId="7" fillId="0" borderId="0" xfId="0" applyFont="1" applyBorder="1" applyAlignment="1">
      <alignment horizontal="right"/>
    </xf>
    <xf numFmtId="0" fontId="7" fillId="0" borderId="51" xfId="0" applyFont="1" applyBorder="1"/>
    <xf numFmtId="0" fontId="16" fillId="0" borderId="91" xfId="0" applyFont="1" applyBorder="1" applyAlignment="1">
      <alignment horizontal="left"/>
    </xf>
    <xf numFmtId="0" fontId="16" fillId="0" borderId="23" xfId="0" applyFont="1" applyBorder="1" applyAlignment="1">
      <alignment horizontal="left"/>
    </xf>
    <xf numFmtId="0" fontId="16" fillId="0" borderId="90" xfId="0" applyFont="1" applyBorder="1" applyAlignment="1">
      <alignment horizontal="left"/>
    </xf>
    <xf numFmtId="0" fontId="16" fillId="0" borderId="26" xfId="0" applyFont="1" applyBorder="1" applyAlignment="1">
      <alignment horizontal="left"/>
    </xf>
    <xf numFmtId="0" fontId="16" fillId="0" borderId="99" xfId="0" applyFont="1" applyBorder="1" applyAlignment="1">
      <alignment horizontal="left"/>
    </xf>
    <xf numFmtId="0" fontId="16" fillId="0" borderId="32" xfId="0" applyFont="1" applyBorder="1" applyAlignment="1">
      <alignment horizontal="left"/>
    </xf>
    <xf numFmtId="0" fontId="16" fillId="0" borderId="33" xfId="0" applyFont="1" applyBorder="1" applyAlignment="1">
      <alignment horizontal="left"/>
    </xf>
    <xf numFmtId="0" fontId="16" fillId="0" borderId="62" xfId="0" applyFont="1" applyBorder="1" applyAlignment="1">
      <alignment horizontal="left"/>
    </xf>
    <xf numFmtId="0" fontId="16" fillId="0" borderId="36" xfId="0" applyFont="1" applyBorder="1" applyAlignment="1">
      <alignment horizontal="left"/>
    </xf>
    <xf numFmtId="0" fontId="16" fillId="0" borderId="92" xfId="0" applyFont="1" applyBorder="1" applyAlignment="1">
      <alignment horizontal="left"/>
    </xf>
    <xf numFmtId="0" fontId="16" fillId="0" borderId="37" xfId="0" applyFont="1" applyBorder="1" applyAlignment="1">
      <alignment horizontal="left"/>
    </xf>
    <xf numFmtId="0" fontId="16" fillId="0" borderId="38" xfId="0" applyFont="1" applyBorder="1" applyAlignment="1">
      <alignment horizontal="left"/>
    </xf>
    <xf numFmtId="0" fontId="16" fillId="0" borderId="63" xfId="0" applyFont="1" applyBorder="1" applyAlignment="1">
      <alignment horizontal="left"/>
    </xf>
    <xf numFmtId="0" fontId="16" fillId="0" borderId="41" xfId="0" applyFont="1" applyBorder="1" applyAlignment="1">
      <alignment horizontal="left"/>
    </xf>
    <xf numFmtId="0" fontId="16" fillId="0" borderId="126" xfId="0" applyFont="1" applyBorder="1" applyAlignment="1">
      <alignment horizontal="left"/>
    </xf>
    <xf numFmtId="172" fontId="16" fillId="0" borderId="55" xfId="0" applyNumberFormat="1" applyFont="1" applyBorder="1" applyAlignment="1">
      <alignment horizontal="centerContinuous"/>
    </xf>
    <xf numFmtId="172" fontId="16" fillId="0" borderId="57" xfId="0" applyNumberFormat="1" applyFont="1" applyBorder="1" applyAlignment="1">
      <alignment horizontal="centerContinuous"/>
    </xf>
    <xf numFmtId="0" fontId="16" fillId="0" borderId="58" xfId="0" applyFont="1" applyBorder="1" applyAlignment="1">
      <alignment horizontal="left"/>
    </xf>
    <xf numFmtId="0" fontId="16" fillId="0" borderId="57" xfId="0" applyFont="1" applyBorder="1" applyAlignment="1">
      <alignment horizontal="left"/>
    </xf>
    <xf numFmtId="0" fontId="16" fillId="0" borderId="56" xfId="0" applyFont="1" applyBorder="1" applyAlignment="1">
      <alignment horizontal="left"/>
    </xf>
    <xf numFmtId="16" fontId="16" fillId="0" borderId="57" xfId="0" applyNumberFormat="1" applyFont="1" applyBorder="1" applyAlignment="1">
      <alignment horizontal="left"/>
    </xf>
    <xf numFmtId="0" fontId="16" fillId="0" borderId="59" xfId="0" applyFont="1" applyBorder="1" applyAlignment="1">
      <alignment horizontal="left"/>
    </xf>
    <xf numFmtId="0" fontId="16" fillId="0" borderId="42" xfId="0" applyFont="1" applyBorder="1" applyAlignment="1"/>
    <xf numFmtId="0" fontId="16" fillId="0" borderId="43" xfId="0" applyFont="1" applyBorder="1" applyAlignment="1"/>
    <xf numFmtId="0" fontId="16" fillId="0" borderId="43" xfId="0" applyFont="1" applyBorder="1" applyAlignment="1">
      <alignment horizontal="center"/>
    </xf>
    <xf numFmtId="0" fontId="16" fillId="0" borderId="43" xfId="0" applyFont="1" applyBorder="1" applyAlignment="1">
      <alignment horizontal="centerContinuous"/>
    </xf>
    <xf numFmtId="0" fontId="16" fillId="0" borderId="44" xfId="0" applyFont="1" applyBorder="1" applyAlignment="1">
      <alignment horizontal="center"/>
    </xf>
    <xf numFmtId="0" fontId="16" fillId="0" borderId="45" xfId="0" applyFont="1" applyBorder="1" applyAlignment="1"/>
    <xf numFmtId="0" fontId="16" fillId="0" borderId="46" xfId="0" applyFont="1" applyBorder="1" applyAlignment="1"/>
    <xf numFmtId="0" fontId="16" fillId="0" borderId="46" xfId="0" applyFont="1" applyBorder="1" applyAlignment="1">
      <alignment horizontal="centerContinuous"/>
    </xf>
    <xf numFmtId="0" fontId="16" fillId="0" borderId="46" xfId="0" applyFont="1" applyBorder="1" applyAlignment="1">
      <alignment horizontal="left"/>
    </xf>
    <xf numFmtId="0" fontId="7" fillId="0" borderId="46" xfId="0" applyFont="1" applyBorder="1" applyAlignment="1">
      <alignment horizontal="left"/>
    </xf>
    <xf numFmtId="0" fontId="16" fillId="0" borderId="49" xfId="0" applyFont="1" applyBorder="1" applyAlignment="1">
      <alignment horizontal="center"/>
    </xf>
    <xf numFmtId="0" fontId="16" fillId="0" borderId="27" xfId="0" applyFont="1" applyBorder="1" applyAlignment="1"/>
    <xf numFmtId="0" fontId="16" fillId="0" borderId="28" xfId="0" applyFont="1" applyBorder="1" applyAlignment="1"/>
    <xf numFmtId="0" fontId="16" fillId="0" borderId="28" xfId="0" applyFont="1" applyBorder="1" applyAlignment="1">
      <alignment horizontal="centerContinuous"/>
    </xf>
    <xf numFmtId="0" fontId="16" fillId="0" borderId="28" xfId="0" applyFont="1" applyBorder="1" applyAlignment="1">
      <alignment horizontal="left"/>
    </xf>
    <xf numFmtId="0" fontId="16" fillId="0" borderId="31" xfId="0" applyFont="1" applyBorder="1" applyAlignment="1">
      <alignment horizontal="center"/>
    </xf>
    <xf numFmtId="1" fontId="7" fillId="0" borderId="30" xfId="0" applyNumberFormat="1" applyFont="1" applyBorder="1"/>
    <xf numFmtId="1" fontId="16" fillId="0" borderId="28" xfId="0" applyNumberFormat="1" applyFont="1" applyBorder="1"/>
    <xf numFmtId="1" fontId="7" fillId="0" borderId="28" xfId="0" applyNumberFormat="1" applyFont="1" applyBorder="1"/>
    <xf numFmtId="0" fontId="16" fillId="0" borderId="43" xfId="0" applyFont="1" applyBorder="1" applyAlignment="1">
      <alignment horizontal="center" vertical="center"/>
    </xf>
    <xf numFmtId="0" fontId="16" fillId="0" borderId="43" xfId="0" applyFont="1" applyBorder="1" applyAlignment="1">
      <alignment horizontal="centerContinuous" vertical="center"/>
    </xf>
    <xf numFmtId="1" fontId="7" fillId="0" borderId="30" xfId="0" applyNumberFormat="1" applyFont="1" applyBorder="1" applyAlignment="1">
      <alignment horizontal="right"/>
    </xf>
    <xf numFmtId="1" fontId="7" fillId="0" borderId="29" xfId="0" applyNumberFormat="1" applyFont="1" applyBorder="1" applyAlignment="1">
      <alignment horizontal="right"/>
    </xf>
    <xf numFmtId="1" fontId="7" fillId="0" borderId="62" xfId="0" applyNumberFormat="1" applyFont="1" applyBorder="1" applyAlignment="1">
      <alignment horizontal="right"/>
    </xf>
    <xf numFmtId="1" fontId="7" fillId="0" borderId="35" xfId="0" applyNumberFormat="1" applyFont="1" applyBorder="1" applyAlignment="1">
      <alignment horizontal="right"/>
    </xf>
    <xf numFmtId="1" fontId="7" fillId="0" borderId="34" xfId="0" applyNumberFormat="1" applyFont="1" applyBorder="1" applyAlignment="1">
      <alignment horizontal="right"/>
    </xf>
    <xf numFmtId="0" fontId="16" fillId="0" borderId="34" xfId="0" applyFont="1" applyBorder="1" applyAlignment="1">
      <alignment horizontal="right"/>
    </xf>
    <xf numFmtId="1" fontId="7" fillId="0" borderId="63" xfId="0" applyNumberFormat="1" applyFont="1" applyBorder="1" applyAlignment="1">
      <alignment horizontal="right"/>
    </xf>
    <xf numFmtId="1" fontId="7" fillId="0" borderId="40" xfId="0" applyNumberFormat="1" applyFont="1" applyBorder="1" applyAlignment="1">
      <alignment horizontal="right"/>
    </xf>
    <xf numFmtId="1" fontId="7" fillId="0" borderId="39" xfId="0" applyNumberFormat="1" applyFont="1" applyBorder="1" applyAlignment="1">
      <alignment horizontal="right"/>
    </xf>
    <xf numFmtId="167" fontId="7" fillId="0" borderId="30" xfId="0" applyNumberFormat="1" applyFont="1" applyBorder="1" applyAlignment="1">
      <alignment horizontal="right"/>
    </xf>
    <xf numFmtId="167" fontId="7" fillId="0" borderId="29" xfId="0" applyNumberFormat="1" applyFont="1" applyBorder="1" applyAlignment="1">
      <alignment horizontal="right"/>
    </xf>
    <xf numFmtId="167" fontId="7" fillId="0" borderId="35" xfId="0" applyNumberFormat="1" applyFont="1" applyBorder="1" applyAlignment="1">
      <alignment horizontal="right"/>
    </xf>
    <xf numFmtId="0" fontId="16" fillId="0" borderId="36" xfId="0" applyFont="1" applyBorder="1" applyAlignment="1">
      <alignment horizontal="center"/>
    </xf>
    <xf numFmtId="0" fontId="16" fillId="0" borderId="55" xfId="0" applyFont="1" applyBorder="1"/>
    <xf numFmtId="0" fontId="16" fillId="0" borderId="57" xfId="0" applyFont="1" applyBorder="1"/>
    <xf numFmtId="0" fontId="16" fillId="0" borderId="57" xfId="0" applyFont="1" applyBorder="1" applyAlignment="1">
      <alignment horizontal="right"/>
    </xf>
    <xf numFmtId="0" fontId="16" fillId="0" borderId="58" xfId="0" applyFont="1" applyBorder="1"/>
    <xf numFmtId="0" fontId="7" fillId="0" borderId="57" xfId="0" applyFont="1" applyBorder="1"/>
    <xf numFmtId="0" fontId="16" fillId="0" borderId="59" xfId="0" applyFont="1" applyBorder="1" applyAlignment="1">
      <alignment horizontal="center"/>
    </xf>
    <xf numFmtId="2" fontId="7" fillId="0" borderId="48" xfId="0" applyNumberFormat="1" applyFont="1" applyBorder="1" applyAlignment="1">
      <alignment horizontal="right"/>
    </xf>
    <xf numFmtId="2" fontId="7" fillId="0" borderId="62" xfId="0" applyNumberFormat="1" applyFont="1" applyBorder="1" applyAlignment="1">
      <alignment horizontal="right"/>
    </xf>
    <xf numFmtId="2" fontId="7" fillId="0" borderId="35" xfId="0" applyNumberFormat="1" applyFont="1" applyBorder="1" applyAlignment="1">
      <alignment horizontal="right"/>
    </xf>
    <xf numFmtId="2" fontId="7" fillId="0" borderId="34" xfId="0" applyNumberFormat="1" applyFont="1" applyBorder="1" applyAlignment="1">
      <alignment horizontal="right"/>
    </xf>
    <xf numFmtId="2" fontId="7" fillId="0" borderId="30" xfId="0" applyNumberFormat="1" applyFont="1" applyBorder="1"/>
    <xf numFmtId="2" fontId="7" fillId="0" borderId="29" xfId="0" applyNumberFormat="1" applyFont="1" applyBorder="1" applyAlignment="1">
      <alignment horizontal="right"/>
    </xf>
    <xf numFmtId="2" fontId="7" fillId="0" borderId="30" xfId="0" applyNumberFormat="1" applyFont="1" applyBorder="1" applyAlignment="1">
      <alignment horizontal="right"/>
    </xf>
    <xf numFmtId="2" fontId="7" fillId="0" borderId="35" xfId="0" applyNumberFormat="1" applyFont="1" applyBorder="1"/>
    <xf numFmtId="1" fontId="7" fillId="0" borderId="35" xfId="0" applyNumberFormat="1" applyFont="1" applyBorder="1"/>
    <xf numFmtId="0" fontId="16" fillId="0" borderId="0" xfId="0" applyFont="1" applyBorder="1" applyAlignment="1">
      <alignment horizontal="right"/>
    </xf>
    <xf numFmtId="0" fontId="16" fillId="0" borderId="122" xfId="0" applyFont="1" applyBorder="1" applyAlignment="1">
      <alignment horizontal="center"/>
    </xf>
    <xf numFmtId="0" fontId="16" fillId="0" borderId="28" xfId="0" applyFont="1" applyBorder="1" applyAlignment="1">
      <alignment horizontal="center"/>
    </xf>
    <xf numFmtId="2" fontId="7" fillId="0" borderId="40" xfId="0" applyNumberFormat="1" applyFont="1" applyBorder="1" applyAlignment="1">
      <alignment horizontal="right"/>
    </xf>
    <xf numFmtId="0" fontId="16" fillId="0" borderId="92" xfId="0" applyFont="1" applyBorder="1" applyAlignment="1">
      <alignment horizontal="center"/>
    </xf>
    <xf numFmtId="0" fontId="16" fillId="0" borderId="41" xfId="0" applyFont="1" applyBorder="1" applyAlignment="1">
      <alignment horizontal="center"/>
    </xf>
    <xf numFmtId="0" fontId="16" fillId="0" borderId="93" xfId="0" applyFont="1" applyBorder="1" applyAlignment="1">
      <alignment horizontal="left"/>
    </xf>
    <xf numFmtId="0" fontId="16" fillId="0" borderId="108" xfId="0" applyFont="1" applyBorder="1" applyAlignment="1">
      <alignment horizontal="left"/>
    </xf>
    <xf numFmtId="0" fontId="16" fillId="0" borderId="109" xfId="0" applyFont="1" applyBorder="1" applyAlignment="1">
      <alignment horizontal="left"/>
    </xf>
    <xf numFmtId="0" fontId="16" fillId="0" borderId="110" xfId="0" applyFont="1" applyBorder="1" applyAlignment="1">
      <alignment horizontal="left"/>
    </xf>
    <xf numFmtId="172" fontId="16" fillId="0" borderId="58" xfId="0" applyNumberFormat="1" applyFont="1" applyBorder="1" applyAlignment="1">
      <alignment horizontal="centerContinuous"/>
    </xf>
    <xf numFmtId="172" fontId="16" fillId="0" borderId="97" xfId="0" applyNumberFormat="1" applyFont="1" applyBorder="1" applyAlignment="1">
      <alignment horizontal="centerContinuous"/>
    </xf>
    <xf numFmtId="0" fontId="17" fillId="0" borderId="29" xfId="0" applyFont="1" applyBorder="1"/>
    <xf numFmtId="0" fontId="17" fillId="0" borderId="39" xfId="0" applyFont="1" applyBorder="1"/>
    <xf numFmtId="0" fontId="17" fillId="0" borderId="29" xfId="0" applyFont="1" applyBorder="1" applyProtection="1">
      <protection locked="0"/>
    </xf>
    <xf numFmtId="2" fontId="17" fillId="0" borderId="29" xfId="0" applyNumberFormat="1" applyFont="1" applyBorder="1" applyProtection="1">
      <protection locked="0"/>
    </xf>
    <xf numFmtId="0" fontId="17" fillId="0" borderId="107" xfId="0" applyFont="1" applyBorder="1" applyProtection="1">
      <protection locked="0"/>
    </xf>
    <xf numFmtId="14" fontId="16" fillId="0" borderId="38" xfId="0" applyNumberFormat="1" applyFont="1" applyBorder="1" applyAlignment="1">
      <alignment horizontal="left"/>
    </xf>
    <xf numFmtId="2" fontId="19" fillId="0" borderId="61" xfId="0" applyNumberFormat="1" applyFont="1" applyFill="1" applyBorder="1" applyAlignment="1">
      <alignment horizontal="right"/>
    </xf>
    <xf numFmtId="0" fontId="20" fillId="0" borderId="62" xfId="0" applyFont="1" applyBorder="1"/>
    <xf numFmtId="2" fontId="20" fillId="0" borderId="62" xfId="0" applyNumberFormat="1" applyFont="1" applyBorder="1"/>
    <xf numFmtId="2" fontId="20" fillId="0" borderId="60" xfId="0" applyNumberFormat="1" applyFont="1" applyBorder="1" applyAlignment="1">
      <alignment horizontal="right"/>
    </xf>
    <xf numFmtId="0" fontId="20" fillId="0" borderId="60" xfId="0" applyNumberFormat="1" applyFont="1" applyBorder="1" applyAlignment="1">
      <alignment horizontal="right"/>
    </xf>
    <xf numFmtId="0" fontId="17" fillId="0" borderId="61" xfId="0" applyFont="1" applyBorder="1" applyProtection="1">
      <protection locked="0"/>
    </xf>
    <xf numFmtId="0" fontId="17" fillId="0" borderId="62" xfId="0" applyFont="1" applyBorder="1" applyProtection="1">
      <protection locked="0"/>
    </xf>
    <xf numFmtId="0" fontId="17" fillId="0" borderId="60" xfId="0" applyFont="1" applyBorder="1" applyProtection="1">
      <protection locked="0"/>
    </xf>
    <xf numFmtId="0" fontId="17" fillId="0" borderId="60" xfId="0" applyFont="1" applyBorder="1" applyAlignment="1" applyProtection="1">
      <alignment horizontal="right"/>
      <protection locked="0"/>
    </xf>
    <xf numFmtId="2" fontId="17" fillId="0" borderId="62" xfId="0" applyNumberFormat="1" applyFont="1" applyBorder="1" applyProtection="1">
      <protection locked="0"/>
    </xf>
    <xf numFmtId="2" fontId="17" fillId="0" borderId="127" xfId="0" applyNumberFormat="1" applyFont="1" applyBorder="1" applyProtection="1">
      <protection locked="0"/>
    </xf>
    <xf numFmtId="2" fontId="17" fillId="0" borderId="13" xfId="0" applyNumberFormat="1" applyFont="1" applyBorder="1" applyProtection="1">
      <protection locked="0"/>
    </xf>
    <xf numFmtId="1" fontId="17" fillId="0" borderId="60" xfId="0" applyNumberFormat="1" applyFont="1" applyBorder="1" applyProtection="1">
      <protection locked="0"/>
    </xf>
    <xf numFmtId="0" fontId="17" fillId="0" borderId="128" xfId="0" applyFont="1" applyBorder="1" applyProtection="1">
      <protection locked="0"/>
    </xf>
    <xf numFmtId="0" fontId="17" fillId="0" borderId="63" xfId="0" applyFont="1" applyBorder="1" applyProtection="1">
      <protection locked="0"/>
    </xf>
    <xf numFmtId="2" fontId="17" fillId="0" borderId="60" xfId="0" applyNumberFormat="1" applyFont="1" applyBorder="1" applyProtection="1">
      <protection locked="0"/>
    </xf>
    <xf numFmtId="1" fontId="20" fillId="0" borderId="34" xfId="0" applyNumberFormat="1" applyFont="1" applyBorder="1" applyAlignment="1">
      <alignment horizontal="right"/>
    </xf>
    <xf numFmtId="1" fontId="20" fillId="0" borderId="62" xfId="0" applyNumberFormat="1" applyFont="1" applyBorder="1" applyAlignment="1">
      <alignment horizontal="right"/>
    </xf>
    <xf numFmtId="1" fontId="20" fillId="0" borderId="60" xfId="0" applyNumberFormat="1" applyFont="1" applyBorder="1" applyAlignment="1">
      <alignment horizontal="right"/>
    </xf>
    <xf numFmtId="1" fontId="20" fillId="0" borderId="39" xfId="0" applyNumberFormat="1" applyFont="1" applyBorder="1" applyAlignment="1">
      <alignment horizontal="right"/>
    </xf>
    <xf numFmtId="0" fontId="39" fillId="0" borderId="72" xfId="0" applyFont="1" applyFill="1" applyBorder="1" applyAlignment="1" applyProtection="1">
      <alignment horizontal="right"/>
    </xf>
    <xf numFmtId="0" fontId="16" fillId="0" borderId="129" xfId="0" applyFont="1" applyBorder="1"/>
    <xf numFmtId="0" fontId="16" fillId="0" borderId="129" xfId="0" applyFont="1" applyBorder="1" applyAlignment="1">
      <alignment horizontal="center"/>
    </xf>
    <xf numFmtId="167" fontId="20" fillId="0" borderId="60" xfId="0" applyNumberFormat="1" applyFont="1" applyBorder="1" applyAlignment="1">
      <alignment horizontal="right"/>
    </xf>
    <xf numFmtId="0" fontId="58" fillId="0" borderId="129" xfId="0" applyFont="1" applyBorder="1"/>
    <xf numFmtId="0" fontId="58" fillId="0" borderId="129" xfId="0" applyFont="1" applyBorder="1" applyAlignment="1">
      <alignment horizontal="center"/>
    </xf>
    <xf numFmtId="167" fontId="20" fillId="0" borderId="34" xfId="0" applyNumberFormat="1" applyFont="1" applyBorder="1" applyAlignment="1">
      <alignment horizontal="right"/>
    </xf>
    <xf numFmtId="2" fontId="16" fillId="0" borderId="0" xfId="0" applyNumberFormat="1" applyFont="1"/>
    <xf numFmtId="2" fontId="19" fillId="0" borderId="62" xfId="0" applyNumberFormat="1" applyFont="1" applyBorder="1"/>
    <xf numFmtId="167" fontId="19" fillId="0" borderId="62" xfId="0" applyNumberFormat="1" applyFont="1" applyFill="1" applyBorder="1" applyAlignment="1">
      <alignment horizontal="right"/>
    </xf>
    <xf numFmtId="167" fontId="20" fillId="0" borderId="34" xfId="0" applyNumberFormat="1" applyFont="1" applyFill="1" applyBorder="1" applyAlignment="1">
      <alignment horizontal="right"/>
    </xf>
    <xf numFmtId="2" fontId="59" fillId="0" borderId="58" xfId="0" applyNumberFormat="1" applyFont="1" applyFill="1" applyBorder="1"/>
    <xf numFmtId="1" fontId="7" fillId="0" borderId="48" xfId="0" applyNumberFormat="1" applyFont="1" applyBorder="1" applyAlignment="1">
      <alignment horizontal="right"/>
    </xf>
    <xf numFmtId="1" fontId="20" fillId="0" borderId="47" xfId="0" applyNumberFormat="1" applyFont="1" applyBorder="1" applyAlignment="1">
      <alignment horizontal="right"/>
    </xf>
    <xf numFmtId="167" fontId="20" fillId="0" borderId="61" xfId="0" applyNumberFormat="1" applyFont="1" applyBorder="1" applyAlignment="1"/>
    <xf numFmtId="167" fontId="20" fillId="0" borderId="48" xfId="0" applyNumberFormat="1" applyFont="1" applyBorder="1" applyAlignment="1">
      <alignment vertical="center"/>
    </xf>
    <xf numFmtId="167" fontId="20" fillId="0" borderId="47" xfId="0" applyNumberFormat="1" applyFont="1" applyBorder="1" applyAlignment="1"/>
    <xf numFmtId="167" fontId="20" fillId="0" borderId="48" xfId="0" applyNumberFormat="1" applyFont="1" applyBorder="1" applyAlignment="1"/>
    <xf numFmtId="2" fontId="20" fillId="0" borderId="61" xfId="0" applyNumberFormat="1" applyFont="1" applyBorder="1" applyAlignment="1">
      <alignment horizontal="right"/>
    </xf>
    <xf numFmtId="2" fontId="20" fillId="0" borderId="47" xfId="0" applyNumberFormat="1" applyFont="1" applyBorder="1" applyAlignment="1">
      <alignment horizontal="right"/>
    </xf>
    <xf numFmtId="0" fontId="20" fillId="0" borderId="62" xfId="0" applyFont="1" applyBorder="1" applyProtection="1">
      <protection locked="0"/>
    </xf>
    <xf numFmtId="2" fontId="20" fillId="0" borderId="34" xfId="0" applyNumberFormat="1" applyFont="1" applyBorder="1" applyAlignment="1">
      <alignment horizontal="right"/>
    </xf>
    <xf numFmtId="2" fontId="20" fillId="0" borderId="35" xfId="0" applyNumberFormat="1" applyFont="1" applyBorder="1" applyAlignment="1">
      <alignment horizontal="right"/>
    </xf>
    <xf numFmtId="1" fontId="20" fillId="0" borderId="35" xfId="0" applyNumberFormat="1" applyFont="1" applyBorder="1" applyAlignment="1">
      <alignment horizontal="right"/>
    </xf>
    <xf numFmtId="1" fontId="20" fillId="0" borderId="128" xfId="0" applyNumberFormat="1" applyFont="1" applyBorder="1" applyAlignment="1">
      <alignment horizontal="right"/>
    </xf>
    <xf numFmtId="1" fontId="20" fillId="0" borderId="53" xfId="0" applyNumberFormat="1" applyFont="1" applyBorder="1" applyAlignment="1">
      <alignment horizontal="right"/>
    </xf>
    <xf numFmtId="1" fontId="20" fillId="0" borderId="115" xfId="0" applyNumberFormat="1" applyFont="1" applyBorder="1" applyAlignment="1">
      <alignment horizontal="right"/>
    </xf>
    <xf numFmtId="2" fontId="20" fillId="0" borderId="29" xfId="0" applyNumberFormat="1" applyFont="1" applyBorder="1" applyAlignment="1">
      <alignment horizontal="right"/>
    </xf>
    <xf numFmtId="0" fontId="58" fillId="0" borderId="0" xfId="0" applyFont="1"/>
    <xf numFmtId="2" fontId="20" fillId="0" borderId="128" xfId="0" applyNumberFormat="1" applyFont="1" applyFill="1" applyBorder="1" applyAlignment="1">
      <alignment horizontal="right"/>
    </xf>
    <xf numFmtId="2" fontId="20" fillId="0" borderId="53" xfId="0" applyNumberFormat="1" applyFont="1" applyBorder="1"/>
    <xf numFmtId="2" fontId="20" fillId="0" borderId="115" xfId="0" applyNumberFormat="1" applyFont="1" applyFill="1" applyBorder="1" applyAlignment="1">
      <alignment horizontal="right"/>
    </xf>
    <xf numFmtId="2" fontId="20" fillId="0" borderId="53" xfId="0" applyNumberFormat="1" applyFont="1" applyBorder="1" applyAlignment="1">
      <alignment horizontal="right"/>
    </xf>
    <xf numFmtId="167" fontId="20" fillId="0" borderId="62" xfId="0" applyNumberFormat="1" applyFont="1" applyBorder="1" applyAlignment="1">
      <alignment horizontal="right"/>
    </xf>
    <xf numFmtId="167" fontId="20" fillId="0" borderId="35" xfId="0" applyNumberFormat="1" applyFont="1" applyBorder="1" applyAlignment="1">
      <alignment horizontal="right"/>
    </xf>
    <xf numFmtId="2" fontId="20" fillId="0" borderId="63" xfId="0" applyNumberFormat="1" applyFont="1" applyFill="1" applyBorder="1" applyAlignment="1">
      <alignment horizontal="right"/>
    </xf>
    <xf numFmtId="2" fontId="20" fillId="0" borderId="39" xfId="0" applyNumberFormat="1" applyFont="1" applyFill="1" applyBorder="1" applyAlignment="1">
      <alignment horizontal="right"/>
    </xf>
    <xf numFmtId="2" fontId="20" fillId="0" borderId="40" xfId="0" applyNumberFormat="1" applyFont="1" applyBorder="1" applyAlignment="1">
      <alignment horizontal="right"/>
    </xf>
    <xf numFmtId="2" fontId="20" fillId="0" borderId="63" xfId="0" applyNumberFormat="1" applyFont="1" applyBorder="1" applyAlignment="1">
      <alignment horizontal="right"/>
    </xf>
    <xf numFmtId="2" fontId="60" fillId="0" borderId="58" xfId="0" applyNumberFormat="1" applyFont="1" applyFill="1" applyBorder="1"/>
    <xf numFmtId="1" fontId="20" fillId="0" borderId="0" xfId="0" applyNumberFormat="1" applyFont="1" applyBorder="1" applyAlignment="1">
      <alignment horizontal="right"/>
    </xf>
    <xf numFmtId="0" fontId="57" fillId="0" borderId="0" xfId="0" applyFont="1" applyProtection="1">
      <protection locked="0"/>
    </xf>
    <xf numFmtId="167" fontId="19" fillId="0" borderId="0" xfId="0" applyNumberFormat="1" applyFont="1" applyFill="1" applyBorder="1" applyAlignment="1">
      <alignment horizontal="right"/>
    </xf>
    <xf numFmtId="2" fontId="20" fillId="0" borderId="62" xfId="38" applyNumberFormat="1" applyFont="1" applyBorder="1" applyAlignment="1">
      <alignment horizontal="right"/>
    </xf>
    <xf numFmtId="0" fontId="17" fillId="0" borderId="62" xfId="38" applyFont="1" applyBorder="1"/>
    <xf numFmtId="0" fontId="17" fillId="0" borderId="62" xfId="38" applyFont="1" applyBorder="1" applyAlignment="1">
      <alignment horizontal="right"/>
    </xf>
    <xf numFmtId="0" fontId="20" fillId="0" borderId="62" xfId="38" applyFont="1" applyBorder="1"/>
    <xf numFmtId="14" fontId="16" fillId="0" borderId="38" xfId="38" applyNumberFormat="1" applyFont="1" applyBorder="1" applyAlignment="1">
      <alignment horizontal="left"/>
    </xf>
    <xf numFmtId="0" fontId="58" fillId="0" borderId="0" xfId="38" applyFont="1"/>
    <xf numFmtId="2" fontId="20" fillId="0" borderId="60" xfId="38" applyNumberFormat="1" applyFont="1" applyBorder="1" applyAlignment="1">
      <alignment horizontal="right"/>
    </xf>
    <xf numFmtId="1" fontId="20" fillId="0" borderId="61" xfId="38" applyNumberFormat="1" applyFont="1" applyBorder="1" applyAlignment="1">
      <alignment horizontal="right"/>
    </xf>
    <xf numFmtId="1" fontId="20" fillId="0" borderId="60" xfId="38" applyNumberFormat="1" applyFont="1" applyBorder="1" applyAlignment="1">
      <alignment horizontal="right"/>
    </xf>
    <xf numFmtId="1" fontId="20" fillId="0" borderId="62" xfId="38" applyNumberFormat="1" applyFont="1" applyBorder="1" applyAlignment="1">
      <alignment horizontal="right"/>
    </xf>
    <xf numFmtId="1" fontId="20" fillId="0" borderId="63" xfId="38" applyNumberFormat="1" applyFont="1" applyBorder="1" applyAlignment="1">
      <alignment horizontal="right"/>
    </xf>
    <xf numFmtId="164" fontId="20" fillId="0" borderId="60" xfId="38" applyNumberFormat="1" applyFont="1" applyBorder="1" applyAlignment="1">
      <alignment horizontal="right"/>
    </xf>
    <xf numFmtId="1" fontId="20" fillId="0" borderId="61" xfId="38" applyNumberFormat="1" applyFont="1" applyBorder="1" applyAlignment="1">
      <alignment horizontal="right" vertical="center"/>
    </xf>
    <xf numFmtId="0" fontId="16" fillId="0" borderId="0" xfId="0" applyFont="1" applyAlignment="1">
      <alignment horizontal="left"/>
    </xf>
    <xf numFmtId="2" fontId="20" fillId="0" borderId="61" xfId="38" applyNumberFormat="1" applyFont="1" applyFill="1" applyBorder="1" applyAlignment="1">
      <alignment horizontal="right"/>
    </xf>
    <xf numFmtId="0" fontId="20" fillId="0" borderId="0" xfId="0" applyFont="1" applyBorder="1"/>
    <xf numFmtId="1" fontId="20" fillId="0" borderId="63" xfId="38" applyNumberFormat="1" applyFont="1" applyFill="1" applyBorder="1" applyAlignment="1">
      <alignment horizontal="right"/>
    </xf>
    <xf numFmtId="1" fontId="20" fillId="0" borderId="128" xfId="38" applyNumberFormat="1" applyFont="1" applyBorder="1" applyAlignment="1">
      <alignment horizontal="right"/>
    </xf>
    <xf numFmtId="2" fontId="20" fillId="0" borderId="61" xfId="38" applyNumberFormat="1" applyFont="1" applyBorder="1" applyAlignment="1">
      <alignment horizontal="right"/>
    </xf>
    <xf numFmtId="2" fontId="20" fillId="0" borderId="130" xfId="38" applyNumberFormat="1" applyFont="1" applyBorder="1" applyAlignment="1">
      <alignment horizontal="right"/>
    </xf>
    <xf numFmtId="2" fontId="7" fillId="0" borderId="0" xfId="38" applyNumberFormat="1" applyFont="1" applyBorder="1" applyAlignment="1">
      <alignment horizontal="right"/>
    </xf>
    <xf numFmtId="2" fontId="58" fillId="0" borderId="0" xfId="38" applyNumberFormat="1" applyFont="1"/>
    <xf numFmtId="2" fontId="20" fillId="0" borderId="35" xfId="38" applyNumberFormat="1" applyFont="1" applyBorder="1" applyAlignment="1">
      <alignment horizontal="right"/>
    </xf>
    <xf numFmtId="2" fontId="20" fillId="0" borderId="34" xfId="38" applyNumberFormat="1" applyFont="1" applyBorder="1" applyAlignment="1">
      <alignment horizontal="right"/>
    </xf>
    <xf numFmtId="2" fontId="20" fillId="0" borderId="128" xfId="38" applyNumberFormat="1" applyFont="1" applyBorder="1" applyAlignment="1">
      <alignment horizontal="right"/>
    </xf>
    <xf numFmtId="2" fontId="20" fillId="0" borderId="63" xfId="38" applyNumberFormat="1" applyFont="1" applyBorder="1" applyAlignment="1">
      <alignment horizontal="right"/>
    </xf>
    <xf numFmtId="1" fontId="58" fillId="0" borderId="0" xfId="38" applyNumberFormat="1" applyFont="1"/>
    <xf numFmtId="0" fontId="16" fillId="0" borderId="0" xfId="38" applyFont="1" applyAlignment="1">
      <alignment horizontal="center"/>
    </xf>
    <xf numFmtId="1" fontId="20" fillId="0" borderId="90" xfId="38" applyNumberFormat="1" applyFont="1" applyBorder="1" applyAlignment="1">
      <alignment horizontal="right"/>
    </xf>
    <xf numFmtId="2" fontId="20" fillId="0" borderId="131" xfId="38" applyNumberFormat="1" applyFont="1" applyBorder="1" applyAlignment="1">
      <alignment horizontal="right"/>
    </xf>
    <xf numFmtId="2" fontId="20" fillId="0" borderId="107" xfId="38" applyNumberFormat="1" applyFont="1" applyBorder="1" applyAlignment="1">
      <alignment horizontal="right"/>
    </xf>
    <xf numFmtId="2" fontId="20" fillId="0" borderId="62" xfId="38" applyNumberFormat="1" applyFont="1" applyFill="1" applyBorder="1"/>
    <xf numFmtId="2" fontId="20" fillId="0" borderId="63" xfId="38" applyNumberFormat="1" applyFont="1" applyBorder="1"/>
    <xf numFmtId="2" fontId="20" fillId="0" borderId="128" xfId="38" applyNumberFormat="1" applyFont="1" applyBorder="1"/>
    <xf numFmtId="2" fontId="19" fillId="0" borderId="61" xfId="38" applyNumberFormat="1" applyFont="1" applyBorder="1" applyAlignment="1">
      <alignment horizontal="right" vertical="center"/>
    </xf>
    <xf numFmtId="2" fontId="19" fillId="0" borderId="60" xfId="38" applyNumberFormat="1" applyFont="1" applyFill="1" applyBorder="1" applyAlignment="1">
      <alignment horizontal="right"/>
    </xf>
    <xf numFmtId="2" fontId="19" fillId="0" borderId="48" xfId="38" applyNumberFormat="1" applyFont="1" applyBorder="1" applyAlignment="1">
      <alignment horizontal="centerContinuous" vertical="center"/>
    </xf>
    <xf numFmtId="2" fontId="19" fillId="0" borderId="47" xfId="38" applyNumberFormat="1" applyFont="1" applyBorder="1" applyAlignment="1">
      <alignment horizontal="right" vertical="center"/>
    </xf>
    <xf numFmtId="1" fontId="20" fillId="0" borderId="127" xfId="38" applyNumberFormat="1" applyFont="1" applyBorder="1"/>
    <xf numFmtId="0" fontId="52" fillId="0" borderId="0" xfId="38" applyFont="1"/>
    <xf numFmtId="167" fontId="20" fillId="0" borderId="63" xfId="38" applyNumberFormat="1" applyFont="1" applyFill="1" applyBorder="1"/>
    <xf numFmtId="0" fontId="17" fillId="0" borderId="90" xfId="38" applyFont="1" applyBorder="1" applyProtection="1">
      <protection locked="0"/>
    </xf>
    <xf numFmtId="0" fontId="17" fillId="0" borderId="62" xfId="38" applyFont="1" applyBorder="1" applyProtection="1">
      <protection locked="0"/>
    </xf>
    <xf numFmtId="0" fontId="17" fillId="0" borderId="63" xfId="38" applyFont="1" applyBorder="1" applyProtection="1">
      <protection locked="0"/>
    </xf>
    <xf numFmtId="0" fontId="17" fillId="0" borderId="61" xfId="38" applyFont="1" applyBorder="1" applyProtection="1">
      <protection locked="0"/>
    </xf>
    <xf numFmtId="2" fontId="17" fillId="0" borderId="62" xfId="38" applyNumberFormat="1" applyFont="1" applyBorder="1" applyProtection="1">
      <protection locked="0"/>
    </xf>
    <xf numFmtId="0" fontId="17" fillId="0" borderId="34" xfId="38" applyFont="1" applyBorder="1" applyProtection="1">
      <protection locked="0"/>
    </xf>
    <xf numFmtId="0" fontId="17" fillId="0" borderId="39" xfId="38" applyFont="1" applyBorder="1" applyProtection="1">
      <protection locked="0"/>
    </xf>
    <xf numFmtId="0" fontId="17" fillId="0" borderId="63" xfId="38" applyNumberFormat="1" applyFont="1" applyBorder="1" applyProtection="1">
      <protection locked="0"/>
    </xf>
    <xf numFmtId="167" fontId="17" fillId="0" borderId="62" xfId="38" applyNumberFormat="1" applyFont="1" applyBorder="1" applyProtection="1">
      <protection locked="0"/>
    </xf>
    <xf numFmtId="2" fontId="17" fillId="0" borderId="127" xfId="38" applyNumberFormat="1" applyFont="1" applyBorder="1" applyProtection="1">
      <protection locked="0"/>
    </xf>
    <xf numFmtId="0" fontId="17" fillId="0" borderId="63" xfId="38" applyFont="1" applyBorder="1" applyAlignment="1" applyProtection="1">
      <alignment horizontal="center"/>
      <protection locked="0"/>
    </xf>
    <xf numFmtId="1" fontId="17" fillId="0" borderId="60" xfId="38" applyNumberFormat="1" applyFont="1" applyBorder="1" applyProtection="1">
      <protection locked="0"/>
    </xf>
    <xf numFmtId="2" fontId="17" fillId="0" borderId="63" xfId="38" applyNumberFormat="1" applyFont="1" applyBorder="1" applyProtection="1">
      <protection locked="0"/>
    </xf>
    <xf numFmtId="0" fontId="57" fillId="0" borderId="0" xfId="38" applyFont="1" applyProtection="1">
      <protection locked="0"/>
    </xf>
    <xf numFmtId="2" fontId="58" fillId="0" borderId="0" xfId="38" applyNumberFormat="1" applyFont="1" applyBorder="1" applyAlignment="1">
      <alignment horizontal="right"/>
    </xf>
    <xf numFmtId="0" fontId="39" fillId="0" borderId="0" xfId="0" applyNumberFormat="1" applyFont="1" applyAlignment="1">
      <alignment vertical="top" wrapText="1"/>
    </xf>
    <xf numFmtId="0" fontId="0" fillId="0" borderId="0" xfId="0" applyNumberFormat="1" applyAlignment="1">
      <alignment vertical="top" wrapText="1"/>
    </xf>
    <xf numFmtId="0" fontId="0" fillId="0" borderId="132" xfId="0" applyNumberFormat="1" applyBorder="1" applyAlignment="1">
      <alignment vertical="top" wrapText="1"/>
    </xf>
    <xf numFmtId="0" fontId="0" fillId="0" borderId="133" xfId="0" applyNumberFormat="1" applyBorder="1" applyAlignment="1">
      <alignment vertical="top" wrapText="1"/>
    </xf>
    <xf numFmtId="0" fontId="39" fillId="0" borderId="0" xfId="0" applyNumberFormat="1" applyFont="1" applyAlignment="1">
      <alignment horizontal="center" vertical="top" wrapText="1"/>
    </xf>
    <xf numFmtId="0" fontId="0" fillId="0" borderId="0" xfId="0" applyNumberFormat="1" applyAlignment="1">
      <alignment horizontal="center" vertical="top" wrapText="1"/>
    </xf>
    <xf numFmtId="0" fontId="0" fillId="0" borderId="133" xfId="0" applyNumberFormat="1" applyBorder="1" applyAlignment="1">
      <alignment horizontal="center" vertical="top" wrapText="1"/>
    </xf>
    <xf numFmtId="0" fontId="0" fillId="0" borderId="134" xfId="0" applyNumberFormat="1" applyBorder="1" applyAlignment="1">
      <alignment horizontal="center" vertical="top" wrapText="1"/>
    </xf>
    <xf numFmtId="0" fontId="66" fillId="0" borderId="62" xfId="37" applyNumberFormat="1" applyFont="1" applyBorder="1" applyAlignment="1" applyProtection="1">
      <protection locked="0"/>
    </xf>
    <xf numFmtId="0" fontId="66" fillId="0" borderId="90" xfId="37" applyNumberFormat="1" applyFont="1" applyBorder="1" applyAlignment="1" applyProtection="1">
      <protection locked="0"/>
    </xf>
    <xf numFmtId="0" fontId="67" fillId="0" borderId="0" xfId="37" applyFont="1"/>
    <xf numFmtId="0" fontId="58" fillId="0" borderId="0" xfId="37" applyFont="1"/>
    <xf numFmtId="0" fontId="0" fillId="0" borderId="0" xfId="0" applyBorder="1" applyAlignment="1" applyProtection="1">
      <alignment horizontal="centerContinuous"/>
    </xf>
    <xf numFmtId="0" fontId="39" fillId="0" borderId="0" xfId="0" applyFont="1" applyBorder="1" applyProtection="1"/>
    <xf numFmtId="0" fontId="39" fillId="0" borderId="0" xfId="0" applyFont="1" applyBorder="1" applyAlignment="1" applyProtection="1">
      <alignment horizontal="right"/>
    </xf>
    <xf numFmtId="0" fontId="40" fillId="0" borderId="0" xfId="0" applyFont="1" applyBorder="1" applyAlignment="1" applyProtection="1">
      <alignment horizontal="right"/>
    </xf>
    <xf numFmtId="0" fontId="1" fillId="0" borderId="0" xfId="0" applyFont="1" applyBorder="1" applyProtection="1">
      <protection locked="0"/>
    </xf>
    <xf numFmtId="0" fontId="47" fillId="0" borderId="0" xfId="0" applyFont="1" applyBorder="1" applyProtection="1">
      <protection locked="0"/>
    </xf>
    <xf numFmtId="165" fontId="0" fillId="0" borderId="0" xfId="0" applyNumberFormat="1" applyBorder="1" applyAlignment="1" applyProtection="1">
      <alignment horizontal="right"/>
    </xf>
    <xf numFmtId="165" fontId="47" fillId="0" borderId="0" xfId="0" applyNumberFormat="1" applyFont="1" applyBorder="1" applyProtection="1">
      <protection locked="0"/>
    </xf>
    <xf numFmtId="0" fontId="0" fillId="0" borderId="0" xfId="0" applyFill="1" applyBorder="1" applyAlignment="1" applyProtection="1">
      <alignment vertical="center"/>
    </xf>
    <xf numFmtId="0" fontId="9" fillId="0" borderId="0" xfId="0" applyFont="1" applyBorder="1" applyAlignment="1" applyProtection="1">
      <alignment horizontal="right"/>
    </xf>
    <xf numFmtId="0" fontId="9" fillId="0" borderId="0" xfId="0" applyFont="1" applyBorder="1" applyAlignment="1" applyProtection="1">
      <alignment horizontal="center"/>
    </xf>
    <xf numFmtId="0" fontId="41" fillId="0" borderId="0" xfId="0" applyFont="1" applyBorder="1" applyAlignment="1" applyProtection="1">
      <alignment horizontal="right"/>
    </xf>
    <xf numFmtId="0" fontId="4" fillId="0" borderId="0" xfId="0" applyFont="1" applyBorder="1" applyAlignment="1" applyProtection="1">
      <alignment horizontal="left"/>
    </xf>
    <xf numFmtId="0" fontId="0" fillId="0" borderId="0" xfId="0" applyFill="1" applyBorder="1" applyProtection="1"/>
    <xf numFmtId="2" fontId="0" fillId="0" borderId="0" xfId="0" applyNumberFormat="1" applyBorder="1" applyAlignment="1" applyProtection="1">
      <alignment horizontal="right"/>
    </xf>
    <xf numFmtId="2" fontId="0" fillId="0" borderId="0" xfId="0" applyNumberFormat="1" applyFill="1" applyBorder="1" applyProtection="1"/>
    <xf numFmtId="2" fontId="0" fillId="0" borderId="0" xfId="0" applyNumberFormat="1" applyBorder="1" applyProtection="1"/>
    <xf numFmtId="2" fontId="1" fillId="0" borderId="0" xfId="0" applyNumberFormat="1" applyFont="1" applyBorder="1" applyProtection="1">
      <protection locked="0"/>
    </xf>
    <xf numFmtId="2" fontId="47" fillId="0" borderId="0" xfId="0" applyNumberFormat="1" applyFont="1" applyBorder="1" applyProtection="1">
      <protection locked="0"/>
    </xf>
    <xf numFmtId="0" fontId="68" fillId="0" borderId="74" xfId="0" applyFont="1" applyBorder="1" applyAlignment="1" applyProtection="1">
      <alignment horizontal="left"/>
    </xf>
    <xf numFmtId="0" fontId="0" fillId="0" borderId="0" xfId="0" applyFill="1" applyBorder="1" applyAlignment="1" applyProtection="1">
      <alignment horizontal="right"/>
    </xf>
    <xf numFmtId="2" fontId="4" fillId="0" borderId="0" xfId="0" applyNumberFormat="1" applyFont="1" applyBorder="1" applyProtection="1"/>
    <xf numFmtId="165" fontId="4" fillId="0" borderId="0" xfId="0" applyNumberFormat="1" applyFont="1" applyBorder="1" applyAlignment="1" applyProtection="1">
      <alignment horizontal="right"/>
    </xf>
    <xf numFmtId="169" fontId="16" fillId="0" borderId="58" xfId="37" applyNumberFormat="1" applyFont="1" applyFill="1" applyBorder="1" applyAlignment="1" applyProtection="1">
      <alignment horizontal="left"/>
    </xf>
    <xf numFmtId="169" fontId="0" fillId="0" borderId="97" xfId="0" applyNumberFormat="1" applyBorder="1" applyAlignment="1"/>
    <xf numFmtId="168" fontId="16" fillId="0" borderId="38" xfId="37" applyNumberFormat="1" applyFont="1" applyBorder="1" applyAlignment="1">
      <alignment horizontal="left"/>
    </xf>
    <xf numFmtId="168" fontId="16" fillId="0" borderId="41" xfId="37" applyNumberFormat="1" applyFont="1" applyBorder="1" applyAlignment="1">
      <alignment horizontal="left"/>
    </xf>
    <xf numFmtId="1" fontId="20" fillId="0" borderId="90" xfId="38" applyNumberFormat="1" applyFont="1" applyBorder="1" applyAlignment="1">
      <alignment horizontal="right"/>
    </xf>
    <xf numFmtId="1" fontId="20" fillId="0" borderId="30" xfId="38" applyNumberFormat="1" applyFont="1" applyBorder="1" applyAlignment="1">
      <alignment horizontal="right"/>
    </xf>
    <xf numFmtId="1" fontId="20" fillId="0" borderId="29" xfId="38" applyNumberFormat="1" applyFont="1" applyBorder="1" applyAlignment="1">
      <alignment horizontal="right"/>
    </xf>
    <xf numFmtId="2" fontId="20" fillId="0" borderId="63" xfId="38" applyNumberFormat="1" applyFont="1" applyBorder="1" applyAlignment="1">
      <alignment horizontal="right"/>
    </xf>
    <xf numFmtId="1" fontId="20" fillId="0" borderId="61" xfId="38" applyNumberFormat="1" applyFont="1" applyBorder="1" applyAlignment="1">
      <alignment horizontal="right"/>
    </xf>
    <xf numFmtId="1" fontId="7" fillId="0" borderId="61" xfId="38" applyNumberFormat="1" applyFont="1" applyBorder="1" applyAlignment="1">
      <alignment horizontal="right"/>
    </xf>
    <xf numFmtId="1" fontId="7" fillId="0" borderId="35" xfId="38" applyNumberFormat="1" applyFont="1" applyBorder="1" applyAlignment="1">
      <alignment horizontal="right"/>
    </xf>
    <xf numFmtId="1" fontId="7" fillId="0" borderId="34" xfId="38" applyNumberFormat="1" applyFont="1" applyBorder="1" applyAlignment="1">
      <alignment horizontal="right"/>
    </xf>
    <xf numFmtId="2" fontId="7" fillId="0" borderId="35" xfId="38" applyNumberFormat="1" applyFont="1" applyBorder="1" applyAlignment="1">
      <alignment horizontal="right"/>
    </xf>
    <xf numFmtId="2" fontId="7" fillId="0" borderId="34" xfId="38" applyNumberFormat="1" applyFont="1" applyBorder="1" applyAlignment="1">
      <alignment horizontal="right"/>
    </xf>
    <xf numFmtId="1" fontId="7" fillId="0" borderId="62" xfId="38" applyNumberFormat="1" applyFont="1" applyBorder="1" applyAlignment="1">
      <alignment horizontal="right"/>
    </xf>
    <xf numFmtId="2" fontId="7" fillId="0" borderId="62" xfId="38" applyNumberFormat="1" applyFont="1" applyBorder="1" applyAlignment="1">
      <alignment horizontal="right"/>
    </xf>
    <xf numFmtId="2" fontId="20" fillId="0" borderId="62" xfId="38" applyNumberFormat="1" applyFont="1" applyBorder="1" applyAlignment="1">
      <alignment horizontal="right"/>
    </xf>
    <xf numFmtId="1" fontId="20" fillId="0" borderId="40" xfId="38" applyNumberFormat="1" applyFont="1" applyBorder="1" applyAlignment="1">
      <alignment horizontal="right"/>
    </xf>
    <xf numFmtId="1" fontId="20" fillId="0" borderId="39" xfId="38" applyNumberFormat="1" applyFont="1" applyBorder="1" applyAlignment="1">
      <alignment horizontal="right"/>
    </xf>
    <xf numFmtId="2" fontId="20" fillId="0" borderId="61" xfId="38" applyNumberFormat="1" applyFont="1" applyBorder="1" applyAlignment="1">
      <alignment horizontal="right"/>
    </xf>
    <xf numFmtId="1" fontId="20" fillId="0" borderId="35" xfId="38" applyNumberFormat="1" applyFont="1" applyBorder="1" applyAlignment="1">
      <alignment horizontal="right"/>
    </xf>
    <xf numFmtId="1" fontId="20" fillId="0" borderId="34" xfId="38" applyNumberFormat="1" applyFont="1" applyBorder="1" applyAlignment="1">
      <alignment horizontal="right"/>
    </xf>
    <xf numFmtId="1" fontId="20" fillId="0" borderId="48" xfId="38" applyNumberFormat="1" applyFont="1" applyBorder="1" applyAlignment="1">
      <alignment horizontal="right"/>
    </xf>
    <xf numFmtId="1" fontId="20" fillId="0" borderId="47" xfId="38" applyNumberFormat="1" applyFont="1" applyBorder="1" applyAlignment="1">
      <alignment horizontal="right"/>
    </xf>
    <xf numFmtId="1" fontId="7" fillId="0" borderId="40" xfId="38" applyNumberFormat="1" applyFont="1" applyBorder="1" applyAlignment="1">
      <alignment horizontal="right"/>
    </xf>
    <xf numFmtId="1" fontId="7" fillId="0" borderId="39" xfId="38" applyNumberFormat="1" applyFont="1" applyBorder="1" applyAlignment="1">
      <alignment horizontal="right"/>
    </xf>
    <xf numFmtId="164" fontId="7" fillId="0" borderId="48" xfId="38" applyNumberFormat="1" applyFont="1" applyBorder="1" applyAlignment="1">
      <alignment horizontal="right"/>
    </xf>
    <xf numFmtId="164" fontId="7" fillId="0" borderId="47" xfId="38" applyNumberFormat="1" applyFont="1" applyBorder="1" applyAlignment="1">
      <alignment horizontal="right"/>
    </xf>
    <xf numFmtId="164" fontId="20" fillId="0" borderId="48" xfId="38" applyNumberFormat="1" applyFont="1" applyBorder="1" applyAlignment="1">
      <alignment horizontal="right"/>
    </xf>
    <xf numFmtId="164" fontId="20" fillId="0" borderId="47" xfId="38" applyNumberFormat="1" applyFont="1" applyBorder="1" applyAlignment="1">
      <alignment horizontal="right"/>
    </xf>
    <xf numFmtId="1" fontId="7" fillId="0" borderId="48" xfId="38" applyNumberFormat="1" applyFont="1" applyBorder="1" applyAlignment="1">
      <alignment horizontal="right"/>
    </xf>
    <xf numFmtId="1" fontId="7" fillId="0" borderId="47" xfId="38" applyNumberFormat="1" applyFont="1" applyBorder="1" applyAlignment="1">
      <alignment horizontal="right"/>
    </xf>
    <xf numFmtId="1" fontId="20" fillId="0" borderId="62" xfId="38" applyNumberFormat="1" applyFont="1" applyBorder="1" applyAlignment="1">
      <alignment horizontal="right"/>
    </xf>
    <xf numFmtId="0" fontId="7" fillId="0" borderId="61" xfId="38" applyFont="1" applyBorder="1" applyAlignment="1">
      <alignment horizontal="right" vertical="center"/>
    </xf>
    <xf numFmtId="1" fontId="20" fillId="0" borderId="48" xfId="38" applyNumberFormat="1" applyFont="1" applyBorder="1" applyAlignment="1">
      <alignment horizontal="right" vertical="center"/>
    </xf>
    <xf numFmtId="1" fontId="20" fillId="0" borderId="47" xfId="38" applyNumberFormat="1" applyFont="1" applyBorder="1" applyAlignment="1">
      <alignment horizontal="right" vertical="center"/>
    </xf>
    <xf numFmtId="2" fontId="20" fillId="0" borderId="35" xfId="38" applyNumberFormat="1" applyFont="1" applyBorder="1" applyAlignment="1">
      <alignment horizontal="right"/>
    </xf>
    <xf numFmtId="2" fontId="20" fillId="0" borderId="34" xfId="38" applyNumberFormat="1" applyFont="1" applyBorder="1" applyAlignment="1">
      <alignment horizontal="right"/>
    </xf>
    <xf numFmtId="2" fontId="20" fillId="0" borderId="40" xfId="38" applyNumberFormat="1" applyFont="1" applyFill="1" applyBorder="1" applyAlignment="1">
      <alignment horizontal="right"/>
    </xf>
    <xf numFmtId="2" fontId="20" fillId="0" borderId="39" xfId="38" applyNumberFormat="1" applyFont="1" applyFill="1" applyBorder="1" applyAlignment="1">
      <alignment horizontal="right"/>
    </xf>
    <xf numFmtId="2" fontId="20" fillId="0" borderId="48" xfId="38" applyNumberFormat="1" applyFont="1" applyFill="1" applyBorder="1" applyAlignment="1">
      <alignment horizontal="right"/>
    </xf>
    <xf numFmtId="2" fontId="20" fillId="0" borderId="47" xfId="38" applyNumberFormat="1" applyFont="1" applyFill="1" applyBorder="1" applyAlignment="1">
      <alignment horizontal="right"/>
    </xf>
    <xf numFmtId="2" fontId="20" fillId="0" borderId="35" xfId="38" applyNumberFormat="1" applyFont="1" applyFill="1" applyBorder="1" applyAlignment="1">
      <alignment horizontal="right"/>
    </xf>
    <xf numFmtId="2" fontId="20" fillId="0" borderId="34" xfId="38" applyNumberFormat="1" applyFont="1" applyFill="1" applyBorder="1" applyAlignment="1">
      <alignment horizontal="right"/>
    </xf>
    <xf numFmtId="1" fontId="20" fillId="0" borderId="63" xfId="38" applyNumberFormat="1" applyFont="1" applyBorder="1" applyAlignment="1">
      <alignment horizontal="right"/>
    </xf>
    <xf numFmtId="1" fontId="7" fillId="0" borderId="63" xfId="38" applyNumberFormat="1" applyFont="1" applyBorder="1" applyAlignment="1">
      <alignment horizontal="right"/>
    </xf>
    <xf numFmtId="1" fontId="20" fillId="0" borderId="25" xfId="38" applyNumberFormat="1" applyFont="1" applyBorder="1" applyAlignment="1">
      <alignment horizontal="right"/>
    </xf>
    <xf numFmtId="1" fontId="20" fillId="0" borderId="24" xfId="38" applyNumberFormat="1" applyFont="1" applyBorder="1" applyAlignment="1">
      <alignment horizontal="right"/>
    </xf>
    <xf numFmtId="0" fontId="20" fillId="0" borderId="61" xfId="38" applyNumberFormat="1" applyFont="1" applyFill="1" applyBorder="1" applyAlignment="1">
      <alignment horizontal="right"/>
    </xf>
    <xf numFmtId="2" fontId="20" fillId="0" borderId="61" xfId="38" applyNumberFormat="1" applyFont="1" applyFill="1" applyBorder="1" applyAlignment="1">
      <alignment horizontal="right"/>
    </xf>
    <xf numFmtId="167" fontId="20" fillId="0" borderId="40" xfId="38" applyNumberFormat="1" applyFont="1" applyFill="1" applyBorder="1" applyAlignment="1">
      <alignment horizontal="right"/>
    </xf>
    <xf numFmtId="167" fontId="20" fillId="0" borderId="39" xfId="38" applyNumberFormat="1" applyFont="1" applyFill="1" applyBorder="1" applyAlignment="1">
      <alignment horizontal="right"/>
    </xf>
    <xf numFmtId="2" fontId="20" fillId="0" borderId="48" xfId="38" applyNumberFormat="1" applyFont="1" applyBorder="1" applyAlignment="1">
      <alignment horizontal="right"/>
    </xf>
    <xf numFmtId="2" fontId="20" fillId="0" borderId="47" xfId="38" applyNumberFormat="1" applyFont="1" applyBorder="1" applyAlignment="1">
      <alignment horizontal="right"/>
    </xf>
    <xf numFmtId="2" fontId="20" fillId="0" borderId="40" xfId="38" applyNumberFormat="1" applyFont="1" applyBorder="1" applyAlignment="1">
      <alignment horizontal="right"/>
    </xf>
    <xf numFmtId="2" fontId="20" fillId="0" borderId="39" xfId="38" applyNumberFormat="1" applyFont="1" applyBorder="1" applyAlignment="1">
      <alignment horizontal="right"/>
    </xf>
    <xf numFmtId="2" fontId="20" fillId="0" borderId="130" xfId="38" applyNumberFormat="1" applyFont="1" applyBorder="1" applyAlignment="1">
      <alignment horizontal="right"/>
    </xf>
    <xf numFmtId="1" fontId="20" fillId="0" borderId="63" xfId="38" applyNumberFormat="1" applyFont="1" applyFill="1" applyBorder="1" applyAlignment="1">
      <alignment horizontal="right"/>
    </xf>
    <xf numFmtId="1" fontId="20" fillId="0" borderId="61" xfId="38" applyNumberFormat="1" applyFont="1" applyBorder="1" applyAlignment="1">
      <alignment horizontal="right" vertical="center"/>
    </xf>
    <xf numFmtId="164" fontId="20" fillId="0" borderId="62" xfId="38" applyNumberFormat="1" applyFont="1" applyBorder="1" applyAlignment="1">
      <alignment horizontal="right"/>
    </xf>
    <xf numFmtId="1" fontId="7" fillId="0" borderId="35" xfId="0" applyNumberFormat="1" applyFont="1" applyFill="1" applyBorder="1" applyAlignment="1" applyProtection="1">
      <alignment horizontal="right"/>
    </xf>
    <xf numFmtId="1" fontId="7" fillId="0" borderId="34" xfId="0" applyNumberFormat="1" applyFont="1" applyFill="1" applyBorder="1" applyAlignment="1" applyProtection="1">
      <alignment horizontal="right"/>
    </xf>
    <xf numFmtId="1" fontId="7" fillId="0" borderId="40" xfId="0" applyNumberFormat="1" applyFont="1" applyFill="1" applyBorder="1" applyAlignment="1" applyProtection="1">
      <alignment horizontal="right"/>
    </xf>
    <xf numFmtId="1" fontId="7" fillId="0" borderId="39" xfId="0" applyNumberFormat="1" applyFont="1" applyFill="1" applyBorder="1" applyAlignment="1" applyProtection="1">
      <alignment horizontal="right"/>
    </xf>
    <xf numFmtId="1" fontId="16" fillId="0" borderId="43" xfId="0" applyNumberFormat="1" applyFont="1" applyFill="1" applyBorder="1" applyAlignment="1" applyProtection="1">
      <alignment horizontal="center"/>
    </xf>
    <xf numFmtId="1" fontId="20" fillId="0" borderId="48" xfId="0" applyNumberFormat="1" applyFont="1" applyFill="1" applyBorder="1" applyAlignment="1" applyProtection="1">
      <alignment horizontal="right"/>
    </xf>
    <xf numFmtId="1" fontId="20" fillId="0" borderId="47" xfId="0" applyNumberFormat="1" applyFont="1" applyFill="1" applyBorder="1" applyAlignment="1" applyProtection="1">
      <alignment horizontal="right"/>
    </xf>
    <xf numFmtId="1" fontId="20" fillId="0" borderId="35" xfId="0" applyNumberFormat="1" applyFont="1" applyFill="1" applyBorder="1" applyAlignment="1" applyProtection="1">
      <alignment horizontal="right"/>
    </xf>
    <xf numFmtId="1" fontId="20" fillId="0" borderId="34" xfId="0" applyNumberFormat="1" applyFont="1" applyFill="1" applyBorder="1" applyAlignment="1" applyProtection="1">
      <alignment horizontal="right"/>
    </xf>
    <xf numFmtId="2" fontId="20" fillId="0" borderId="35" xfId="0" applyNumberFormat="1" applyFont="1" applyFill="1" applyBorder="1" applyAlignment="1" applyProtection="1">
      <alignment horizontal="right"/>
    </xf>
    <xf numFmtId="2" fontId="20" fillId="0" borderId="34" xfId="0" applyNumberFormat="1" applyFont="1" applyFill="1" applyBorder="1" applyAlignment="1" applyProtection="1">
      <alignment horizontal="right"/>
    </xf>
    <xf numFmtId="2" fontId="20" fillId="0" borderId="40" xfId="0" applyNumberFormat="1" applyFont="1" applyFill="1" applyBorder="1" applyAlignment="1" applyProtection="1">
      <alignment horizontal="right"/>
    </xf>
    <xf numFmtId="2" fontId="20" fillId="0" borderId="39" xfId="0" applyNumberFormat="1" applyFont="1" applyFill="1" applyBorder="1" applyAlignment="1" applyProtection="1">
      <alignment horizontal="right"/>
    </xf>
    <xf numFmtId="1" fontId="20" fillId="0" borderId="40" xfId="0" quotePrefix="1" applyNumberFormat="1" applyFont="1" applyFill="1" applyBorder="1" applyAlignment="1" applyProtection="1">
      <alignment horizontal="right"/>
    </xf>
    <xf numFmtId="1" fontId="20" fillId="0" borderId="39" xfId="0" applyNumberFormat="1" applyFont="1" applyFill="1" applyBorder="1" applyAlignment="1" applyProtection="1">
      <alignment horizontal="right"/>
    </xf>
    <xf numFmtId="2" fontId="20" fillId="0" borderId="25" xfId="0" applyNumberFormat="1" applyFont="1" applyFill="1" applyBorder="1" applyAlignment="1" applyProtection="1">
      <alignment horizontal="right"/>
    </xf>
    <xf numFmtId="2" fontId="20" fillId="0" borderId="24" xfId="0" applyNumberFormat="1" applyFont="1" applyFill="1" applyBorder="1" applyAlignment="1" applyProtection="1">
      <alignment horizontal="right"/>
    </xf>
    <xf numFmtId="167" fontId="20" fillId="0" borderId="35" xfId="0" applyNumberFormat="1" applyFont="1" applyFill="1" applyBorder="1" applyAlignment="1" applyProtection="1">
      <alignment horizontal="right"/>
    </xf>
    <xf numFmtId="167" fontId="20" fillId="0" borderId="34" xfId="0" applyNumberFormat="1" applyFont="1" applyFill="1" applyBorder="1" applyAlignment="1" applyProtection="1">
      <alignment horizontal="right"/>
    </xf>
    <xf numFmtId="1" fontId="20" fillId="0" borderId="40" xfId="0" applyNumberFormat="1" applyFont="1" applyFill="1" applyBorder="1" applyAlignment="1" applyProtection="1">
      <alignment horizontal="right"/>
    </xf>
    <xf numFmtId="1" fontId="7" fillId="0" borderId="48" xfId="0" applyNumberFormat="1" applyFont="1" applyFill="1" applyBorder="1" applyAlignment="1" applyProtection="1">
      <alignment horizontal="right"/>
    </xf>
    <xf numFmtId="1" fontId="7" fillId="0" borderId="47" xfId="0" applyNumberFormat="1" applyFont="1" applyFill="1" applyBorder="1" applyAlignment="1" applyProtection="1">
      <alignment horizontal="right"/>
    </xf>
    <xf numFmtId="2" fontId="20" fillId="0" borderId="48" xfId="0" applyNumberFormat="1" applyFont="1" applyFill="1" applyBorder="1" applyAlignment="1" applyProtection="1">
      <alignment horizontal="right"/>
    </xf>
    <xf numFmtId="2" fontId="20" fillId="0" borderId="47" xfId="0" applyNumberFormat="1" applyFont="1" applyFill="1" applyBorder="1" applyAlignment="1" applyProtection="1">
      <alignment horizontal="right"/>
    </xf>
    <xf numFmtId="167" fontId="20" fillId="0" borderId="40" xfId="0" applyNumberFormat="1" applyFont="1" applyFill="1" applyBorder="1" applyAlignment="1" applyProtection="1">
      <alignment horizontal="right"/>
    </xf>
    <xf numFmtId="167" fontId="20" fillId="0" borderId="39" xfId="0" applyNumberFormat="1" applyFont="1" applyFill="1" applyBorder="1" applyAlignment="1" applyProtection="1">
      <alignment horizontal="right"/>
    </xf>
    <xf numFmtId="167" fontId="7" fillId="0" borderId="35" xfId="0" applyNumberFormat="1" applyFont="1" applyFill="1" applyBorder="1" applyAlignment="1" applyProtection="1">
      <alignment horizontal="right"/>
    </xf>
    <xf numFmtId="167" fontId="7" fillId="0" borderId="34" xfId="0" applyNumberFormat="1" applyFont="1" applyFill="1" applyBorder="1" applyAlignment="1" applyProtection="1">
      <alignment horizontal="right"/>
    </xf>
    <xf numFmtId="167" fontId="7" fillId="0" borderId="35" xfId="0" quotePrefix="1" applyNumberFormat="1" applyFont="1" applyFill="1" applyBorder="1" applyAlignment="1" applyProtection="1">
      <alignment horizontal="right"/>
    </xf>
    <xf numFmtId="167" fontId="20" fillId="0" borderId="25" xfId="0" applyNumberFormat="1" applyFont="1" applyFill="1" applyBorder="1" applyAlignment="1" applyProtection="1">
      <alignment horizontal="right"/>
    </xf>
    <xf numFmtId="167" fontId="20" fillId="0" borderId="24" xfId="0" applyNumberFormat="1" applyFont="1" applyFill="1" applyBorder="1" applyAlignment="1" applyProtection="1">
      <alignment horizontal="right"/>
    </xf>
    <xf numFmtId="167" fontId="20" fillId="0" borderId="48" xfId="0" quotePrefix="1" applyNumberFormat="1" applyFont="1" applyFill="1" applyBorder="1" applyAlignment="1" applyProtection="1">
      <alignment horizontal="right"/>
    </xf>
    <xf numFmtId="167" fontId="20" fillId="0" borderId="47" xfId="0" applyNumberFormat="1" applyFont="1" applyFill="1" applyBorder="1" applyAlignment="1" applyProtection="1">
      <alignment horizontal="right"/>
    </xf>
    <xf numFmtId="2" fontId="20" fillId="0" borderId="62" xfId="0" applyNumberFormat="1" applyFont="1" applyFill="1" applyBorder="1" applyAlignment="1" applyProtection="1">
      <alignment horizontal="right"/>
    </xf>
    <xf numFmtId="2" fontId="20" fillId="0" borderId="63" xfId="0" applyNumberFormat="1" applyFont="1" applyFill="1" applyBorder="1" applyAlignment="1" applyProtection="1">
      <alignment horizontal="right"/>
    </xf>
    <xf numFmtId="167" fontId="20" fillId="0" borderId="90" xfId="0" applyNumberFormat="1" applyFont="1" applyFill="1" applyBorder="1" applyAlignment="1" applyProtection="1">
      <alignment horizontal="right"/>
    </xf>
    <xf numFmtId="0" fontId="17" fillId="0" borderId="90" xfId="0" applyNumberFormat="1" applyFont="1" applyFill="1" applyBorder="1" applyAlignment="1" applyProtection="1">
      <alignment horizontal="right"/>
      <protection locked="0"/>
    </xf>
    <xf numFmtId="0" fontId="17" fillId="0" borderId="63" xfId="0" applyNumberFormat="1" applyFont="1" applyFill="1" applyBorder="1" applyAlignment="1" applyProtection="1">
      <alignment horizontal="right"/>
      <protection locked="0"/>
    </xf>
    <xf numFmtId="0" fontId="17" fillId="0" borderId="90" xfId="0" applyFont="1" applyFill="1" applyBorder="1" applyAlignment="1" applyProtection="1">
      <alignment horizontal="right"/>
      <protection locked="0"/>
    </xf>
    <xf numFmtId="0" fontId="17" fillId="0" borderId="63" xfId="0" applyFont="1" applyFill="1" applyBorder="1" applyAlignment="1" applyProtection="1">
      <alignment horizontal="right"/>
      <protection locked="0"/>
    </xf>
    <xf numFmtId="0" fontId="69" fillId="0" borderId="0" xfId="0" applyFont="1"/>
  </cellXfs>
  <cellStyles count="44">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_293H02-Rev0-FLANGE-pos-52-Clause-11" xfId="37"/>
    <cellStyle name="Normal_293H02-Rev0-FLANGE-pos-52-DIN-2505" xfId="38"/>
    <cellStyle name="Note" xfId="39" builtinId="10" customBuiltin="1"/>
    <cellStyle name="Output" xfId="40" builtinId="21" customBuiltin="1"/>
    <cellStyle name="Title" xfId="41" builtinId="15" customBuiltin="1"/>
    <cellStyle name="Total" xfId="42" builtinId="25" customBuiltin="1"/>
    <cellStyle name="Warning Text" xfId="43" builtinId="11" customBuiltin="1"/>
  </cellStyles>
  <dxfs count="28">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sz val="12"/>
      </font>
    </dxf>
    <dxf>
      <border>
        <right style="thin">
          <color indexed="64"/>
        </right>
        <bottom style="thin">
          <color indexed="64"/>
        </bottom>
      </border>
    </dxf>
    <dxf>
      <numFmt numFmtId="30" formatCode="@"/>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25" b="1" i="0" u="none" strike="noStrike" baseline="0">
                <a:solidFill>
                  <a:srgbClr val="000000"/>
                </a:solidFill>
                <a:latin typeface="Arial"/>
                <a:ea typeface="Arial"/>
                <a:cs typeface="Arial"/>
              </a:defRPr>
            </a:pPr>
            <a:r>
              <a:rPr lang="en-US"/>
              <a:t>fig.11.5-4</a:t>
            </a:r>
          </a:p>
        </c:rich>
      </c:tx>
      <c:layout>
        <c:manualLayout>
          <c:xMode val="edge"/>
          <c:yMode val="edge"/>
          <c:x val="0.43125087738215612"/>
          <c:y val="3.2500039672899994E-2"/>
        </c:manualLayout>
      </c:layout>
      <c:overlay val="0"/>
      <c:spPr>
        <a:noFill/>
        <a:ln w="25400">
          <a:noFill/>
        </a:ln>
      </c:spPr>
    </c:title>
    <c:autoTitleDeleted val="0"/>
    <c:plotArea>
      <c:layout>
        <c:manualLayout>
          <c:layoutTarget val="inner"/>
          <c:xMode val="edge"/>
          <c:yMode val="edge"/>
          <c:x val="0.15208364274829661"/>
          <c:y val="0.15750019226097689"/>
          <c:w val="0.74583485073822176"/>
          <c:h val="0.70250085754499214"/>
        </c:manualLayout>
      </c:layout>
      <c:scatterChart>
        <c:scatterStyle val="lineMarker"/>
        <c:varyColors val="0"/>
        <c:ser>
          <c:idx val="0"/>
          <c:order val="0"/>
          <c:tx>
            <c:strRef>
              <c:f>'EN13445-3'!$Q$98</c:f>
              <c:strCache>
                <c:ptCount val="1"/>
                <c:pt idx="0">
                  <c:v>0,1</c:v>
                </c:pt>
              </c:strCache>
            </c:strRef>
          </c:tx>
          <c:spPr>
            <a:ln w="28575">
              <a:noFill/>
            </a:ln>
          </c:spPr>
          <c:marker>
            <c:symbol val="diamond"/>
            <c:size val="5"/>
            <c:spPr>
              <a:solidFill>
                <a:srgbClr val="000080"/>
              </a:solidFill>
              <a:ln>
                <a:solidFill>
                  <a:srgbClr val="000080"/>
                </a:solidFill>
                <a:prstDash val="solid"/>
              </a:ln>
            </c:spPr>
          </c:marker>
          <c:xVal>
            <c:numRef>
              <c:f>'EN13445-3'!$P$99:$P$103</c:f>
              <c:numCache>
                <c:formatCode>General</c:formatCode>
                <c:ptCount val="5"/>
                <c:pt idx="0">
                  <c:v>1</c:v>
                </c:pt>
                <c:pt idx="1">
                  <c:v>2</c:v>
                </c:pt>
                <c:pt idx="2">
                  <c:v>3</c:v>
                </c:pt>
                <c:pt idx="3">
                  <c:v>4</c:v>
                </c:pt>
                <c:pt idx="4">
                  <c:v>5</c:v>
                </c:pt>
              </c:numCache>
            </c:numRef>
          </c:xVal>
          <c:yVal>
            <c:numRef>
              <c:f>'EN13445-3'!$Q$99:$Q$103</c:f>
              <c:numCache>
                <c:formatCode>0.0000</c:formatCode>
                <c:ptCount val="5"/>
                <c:pt idx="0">
                  <c:v>0.90890000000000004</c:v>
                </c:pt>
                <c:pt idx="1">
                  <c:v>0.90380000000000005</c:v>
                </c:pt>
                <c:pt idx="2">
                  <c:v>0.90590000000000004</c:v>
                </c:pt>
                <c:pt idx="3">
                  <c:v>0.90890000000000004</c:v>
                </c:pt>
                <c:pt idx="4">
                  <c:v>0.91249999999999998</c:v>
                </c:pt>
              </c:numCache>
            </c:numRef>
          </c:yVal>
          <c:smooth val="0"/>
        </c:ser>
        <c:ser>
          <c:idx val="1"/>
          <c:order val="1"/>
          <c:tx>
            <c:strRef>
              <c:f>'EN13445-3'!$R$98</c:f>
              <c:strCache>
                <c:ptCount val="1"/>
                <c:pt idx="0">
                  <c:v>1</c:v>
                </c:pt>
              </c:strCache>
            </c:strRef>
          </c:tx>
          <c:spPr>
            <a:ln w="28575">
              <a:noFill/>
            </a:ln>
          </c:spPr>
          <c:marker>
            <c:symbol val="square"/>
            <c:size val="5"/>
            <c:spPr>
              <a:solidFill>
                <a:srgbClr val="FF00FF"/>
              </a:solidFill>
              <a:ln>
                <a:solidFill>
                  <a:srgbClr val="FF00FF"/>
                </a:solidFill>
                <a:prstDash val="solid"/>
              </a:ln>
            </c:spPr>
          </c:marker>
          <c:xVal>
            <c:numRef>
              <c:f>'EN13445-3'!$P$99:$P$103</c:f>
              <c:numCache>
                <c:formatCode>General</c:formatCode>
                <c:ptCount val="5"/>
                <c:pt idx="0">
                  <c:v>1</c:v>
                </c:pt>
                <c:pt idx="1">
                  <c:v>2</c:v>
                </c:pt>
                <c:pt idx="2">
                  <c:v>3</c:v>
                </c:pt>
                <c:pt idx="3">
                  <c:v>4</c:v>
                </c:pt>
                <c:pt idx="4">
                  <c:v>5</c:v>
                </c:pt>
              </c:numCache>
            </c:numRef>
          </c:xVal>
          <c:yVal>
            <c:numRef>
              <c:f>'EN13445-3'!$R$99:$R$103</c:f>
              <c:numCache>
                <c:formatCode>0.0000</c:formatCode>
                <c:ptCount val="5"/>
                <c:pt idx="0">
                  <c:v>0.90880000000000005</c:v>
                </c:pt>
                <c:pt idx="1">
                  <c:v>0.74</c:v>
                </c:pt>
                <c:pt idx="2">
                  <c:v>0.6895</c:v>
                </c:pt>
                <c:pt idx="3">
                  <c:v>0.66869999999999996</c:v>
                </c:pt>
                <c:pt idx="4">
                  <c:v>0.65359999999999996</c:v>
                </c:pt>
              </c:numCache>
            </c:numRef>
          </c:yVal>
          <c:smooth val="0"/>
        </c:ser>
        <c:ser>
          <c:idx val="2"/>
          <c:order val="2"/>
          <c:tx>
            <c:strRef>
              <c:f>'EN13445-3'!$S$98</c:f>
              <c:strCache>
                <c:ptCount val="1"/>
                <c:pt idx="0">
                  <c:v>2</c:v>
                </c:pt>
              </c:strCache>
            </c:strRef>
          </c:tx>
          <c:spPr>
            <a:ln w="28575">
              <a:noFill/>
            </a:ln>
          </c:spPr>
          <c:marker>
            <c:symbol val="triangle"/>
            <c:size val="5"/>
            <c:spPr>
              <a:solidFill>
                <a:srgbClr val="FFFF00"/>
              </a:solidFill>
              <a:ln>
                <a:solidFill>
                  <a:srgbClr val="FFFF00"/>
                </a:solidFill>
                <a:prstDash val="solid"/>
              </a:ln>
            </c:spPr>
          </c:marker>
          <c:xVal>
            <c:numRef>
              <c:f>'EN13445-3'!$P$99:$P$103</c:f>
              <c:numCache>
                <c:formatCode>General</c:formatCode>
                <c:ptCount val="5"/>
                <c:pt idx="0">
                  <c:v>1</c:v>
                </c:pt>
                <c:pt idx="1">
                  <c:v>2</c:v>
                </c:pt>
                <c:pt idx="2">
                  <c:v>3</c:v>
                </c:pt>
                <c:pt idx="3">
                  <c:v>4</c:v>
                </c:pt>
                <c:pt idx="4">
                  <c:v>5</c:v>
                </c:pt>
              </c:numCache>
            </c:numRef>
          </c:xVal>
          <c:yVal>
            <c:numRef>
              <c:f>'EN13445-3'!$S$99:$S$103</c:f>
              <c:numCache>
                <c:formatCode>0.0000</c:formatCode>
                <c:ptCount val="5"/>
                <c:pt idx="0">
                  <c:v>0.90839999999999999</c:v>
                </c:pt>
                <c:pt idx="1">
                  <c:v>0.68240000000000001</c:v>
                </c:pt>
                <c:pt idx="2">
                  <c:v>0.5877</c:v>
                </c:pt>
                <c:pt idx="3">
                  <c:v>0.53680000000000005</c:v>
                </c:pt>
                <c:pt idx="4">
                  <c:v>0.50639999999999996</c:v>
                </c:pt>
              </c:numCache>
            </c:numRef>
          </c:yVal>
          <c:smooth val="0"/>
        </c:ser>
        <c:dLbls>
          <c:showLegendKey val="0"/>
          <c:showVal val="0"/>
          <c:showCatName val="0"/>
          <c:showSerName val="0"/>
          <c:showPercent val="0"/>
          <c:showBubbleSize val="0"/>
        </c:dLbls>
        <c:axId val="108650880"/>
        <c:axId val="108653184"/>
      </c:scatterChart>
      <c:valAx>
        <c:axId val="108650880"/>
        <c:scaling>
          <c:orientation val="minMax"/>
          <c:max val="5"/>
        </c:scaling>
        <c:delete val="0"/>
        <c:axPos val="b"/>
        <c:title>
          <c:tx>
            <c:rich>
              <a:bodyPr/>
              <a:lstStyle/>
              <a:p>
                <a:pPr>
                  <a:defRPr sz="825" b="0" i="0" u="none" strike="noStrike" baseline="0">
                    <a:solidFill>
                      <a:srgbClr val="000000"/>
                    </a:solidFill>
                    <a:latin typeface="Arial"/>
                    <a:ea typeface="Arial"/>
                    <a:cs typeface="Arial"/>
                  </a:defRPr>
                </a:pPr>
                <a:r>
                  <a:rPr lang="en-US"/>
                  <a:t>g0/g1</a:t>
                </a:r>
              </a:p>
            </c:rich>
          </c:tx>
          <c:layout>
            <c:manualLayout>
              <c:xMode val="edge"/>
              <c:yMode val="edge"/>
              <c:x val="0.49375100453899035"/>
              <c:y val="0.927501132203530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108653184"/>
        <c:crosses val="autoZero"/>
        <c:crossBetween val="midCat"/>
      </c:valAx>
      <c:valAx>
        <c:axId val="108653184"/>
        <c:scaling>
          <c:orientation val="minMax"/>
          <c:max val="1"/>
          <c:min val="0.5"/>
        </c:scaling>
        <c:delete val="0"/>
        <c:axPos val="l"/>
        <c:majorGridlines>
          <c:spPr>
            <a:ln w="3175">
              <a:solidFill>
                <a:srgbClr val="000000"/>
              </a:solidFill>
              <a:prstDash val="solid"/>
            </a:ln>
          </c:spPr>
        </c:majorGridlines>
        <c:title>
          <c:tx>
            <c:rich>
              <a:bodyPr/>
              <a:lstStyle/>
              <a:p>
                <a:pPr>
                  <a:defRPr sz="825" b="0" i="0" u="none" strike="noStrike" baseline="0">
                    <a:solidFill>
                      <a:srgbClr val="000000"/>
                    </a:solidFill>
                    <a:latin typeface="Arial"/>
                    <a:ea typeface="Arial"/>
                    <a:cs typeface="Arial"/>
                  </a:defRPr>
                </a:pPr>
                <a:r>
                  <a:rPr lang="en-US"/>
                  <a:t>betaf</a:t>
                </a:r>
              </a:p>
            </c:rich>
          </c:tx>
          <c:layout>
            <c:manualLayout>
              <c:xMode val="edge"/>
              <c:yMode val="edge"/>
              <c:x val="1.8750038147050268E-2"/>
              <c:y val="0.47250057678293067"/>
            </c:manualLayout>
          </c:layout>
          <c:overlay val="0"/>
          <c:spPr>
            <a:noFill/>
            <a:ln w="25400">
              <a:noFill/>
            </a:ln>
          </c:spPr>
        </c:title>
        <c:numFmt formatCode="0.0000"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108650880"/>
        <c:crosses val="autoZero"/>
        <c:crossBetween val="midCat"/>
      </c:valAx>
      <c:spPr>
        <a:solidFill>
          <a:srgbClr val="C0C0C0"/>
        </a:solidFill>
        <a:ln w="12700">
          <a:solidFill>
            <a:srgbClr val="808080"/>
          </a:solidFill>
          <a:prstDash val="solid"/>
        </a:ln>
      </c:spPr>
    </c:plotArea>
    <c:legend>
      <c:legendPos val="r"/>
      <c:layout>
        <c:manualLayout>
          <c:xMode val="edge"/>
          <c:yMode val="edge"/>
          <c:x val="0.21041709476134188"/>
          <c:y val="0.54250066223225368"/>
          <c:w val="6.8750139872517643E-2"/>
          <c:h val="0.14500017700216919"/>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horizontalDpi="1200" verticalDpi="120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fig.11.5-6</a:t>
            </a:r>
          </a:p>
        </c:rich>
      </c:tx>
      <c:layout>
        <c:manualLayout>
          <c:xMode val="edge"/>
          <c:yMode val="edge"/>
          <c:x val="0.4285724250660925"/>
          <c:y val="3.2418952618453865E-2"/>
        </c:manualLayout>
      </c:layout>
      <c:overlay val="0"/>
      <c:spPr>
        <a:noFill/>
        <a:ln w="25400">
          <a:noFill/>
        </a:ln>
      </c:spPr>
    </c:title>
    <c:autoTitleDeleted val="0"/>
    <c:plotArea>
      <c:layout>
        <c:manualLayout>
          <c:layoutTarget val="inner"/>
          <c:xMode val="edge"/>
          <c:yMode val="edge"/>
          <c:x val="0.13809555918796315"/>
          <c:y val="0.15960099750623441"/>
          <c:w val="0.75714461761676344"/>
          <c:h val="0.70074812967581046"/>
        </c:manualLayout>
      </c:layout>
      <c:scatterChart>
        <c:scatterStyle val="lineMarker"/>
        <c:varyColors val="0"/>
        <c:ser>
          <c:idx val="0"/>
          <c:order val="0"/>
          <c:tx>
            <c:strRef>
              <c:f>'EN13445-3'!$K$98</c:f>
              <c:strCache>
                <c:ptCount val="1"/>
                <c:pt idx="0">
                  <c:v>0,1</c:v>
                </c:pt>
              </c:strCache>
            </c:strRef>
          </c:tx>
          <c:spPr>
            <a:ln w="28575">
              <a:noFill/>
            </a:ln>
          </c:spPr>
          <c:marker>
            <c:symbol val="diamond"/>
            <c:size val="5"/>
            <c:spPr>
              <a:solidFill>
                <a:srgbClr val="000080"/>
              </a:solidFill>
              <a:ln>
                <a:solidFill>
                  <a:srgbClr val="000080"/>
                </a:solidFill>
                <a:prstDash val="solid"/>
              </a:ln>
            </c:spPr>
          </c:marker>
          <c:xVal>
            <c:numRef>
              <c:f>'EN13445-3'!$J$99:$J$103</c:f>
              <c:numCache>
                <c:formatCode>General</c:formatCode>
                <c:ptCount val="5"/>
                <c:pt idx="0">
                  <c:v>1</c:v>
                </c:pt>
                <c:pt idx="1">
                  <c:v>2</c:v>
                </c:pt>
                <c:pt idx="2">
                  <c:v>3</c:v>
                </c:pt>
                <c:pt idx="3">
                  <c:v>4</c:v>
                </c:pt>
                <c:pt idx="4">
                  <c:v>5</c:v>
                </c:pt>
              </c:numCache>
            </c:numRef>
          </c:xVal>
          <c:yVal>
            <c:numRef>
              <c:f>'EN13445-3'!$K$99:$K$103</c:f>
              <c:numCache>
                <c:formatCode>General</c:formatCode>
                <c:ptCount val="5"/>
                <c:pt idx="0">
                  <c:v>1</c:v>
                </c:pt>
                <c:pt idx="1">
                  <c:v>3.28</c:v>
                </c:pt>
                <c:pt idx="2">
                  <c:v>7.39</c:v>
                </c:pt>
                <c:pt idx="3">
                  <c:v>13.14</c:v>
                </c:pt>
                <c:pt idx="4">
                  <c:v>20.54</c:v>
                </c:pt>
              </c:numCache>
            </c:numRef>
          </c:yVal>
          <c:smooth val="0"/>
        </c:ser>
        <c:ser>
          <c:idx val="1"/>
          <c:order val="1"/>
          <c:tx>
            <c:strRef>
              <c:f>'EN13445-3'!$L$98</c:f>
              <c:strCache>
                <c:ptCount val="1"/>
                <c:pt idx="0">
                  <c:v>1</c:v>
                </c:pt>
              </c:strCache>
            </c:strRef>
          </c:tx>
          <c:spPr>
            <a:ln w="28575">
              <a:noFill/>
            </a:ln>
          </c:spPr>
          <c:marker>
            <c:symbol val="square"/>
            <c:size val="5"/>
            <c:spPr>
              <a:solidFill>
                <a:srgbClr val="FF00FF"/>
              </a:solidFill>
              <a:ln>
                <a:solidFill>
                  <a:srgbClr val="FF00FF"/>
                </a:solidFill>
                <a:prstDash val="solid"/>
              </a:ln>
            </c:spPr>
          </c:marker>
          <c:xVal>
            <c:numRef>
              <c:f>'EN13445-3'!$J$99:$J$103</c:f>
              <c:numCache>
                <c:formatCode>General</c:formatCode>
                <c:ptCount val="5"/>
                <c:pt idx="0">
                  <c:v>1</c:v>
                </c:pt>
                <c:pt idx="1">
                  <c:v>2</c:v>
                </c:pt>
                <c:pt idx="2">
                  <c:v>3</c:v>
                </c:pt>
                <c:pt idx="3">
                  <c:v>4</c:v>
                </c:pt>
                <c:pt idx="4">
                  <c:v>5</c:v>
                </c:pt>
              </c:numCache>
            </c:numRef>
          </c:xVal>
          <c:yVal>
            <c:numRef>
              <c:f>'EN13445-3'!$L$99:$L$103</c:f>
              <c:numCache>
                <c:formatCode>General</c:formatCode>
                <c:ptCount val="5"/>
                <c:pt idx="0">
                  <c:v>1</c:v>
                </c:pt>
                <c:pt idx="1">
                  <c:v>1</c:v>
                </c:pt>
                <c:pt idx="2">
                  <c:v>1</c:v>
                </c:pt>
                <c:pt idx="3">
                  <c:v>1.5329999999999999</c:v>
                </c:pt>
                <c:pt idx="4">
                  <c:v>2.73</c:v>
                </c:pt>
              </c:numCache>
            </c:numRef>
          </c:yVal>
          <c:smooth val="0"/>
        </c:ser>
        <c:ser>
          <c:idx val="2"/>
          <c:order val="2"/>
          <c:tx>
            <c:strRef>
              <c:f>'EN13445-3'!$M$98</c:f>
              <c:strCache>
                <c:ptCount val="1"/>
                <c:pt idx="0">
                  <c:v>0,5</c:v>
                </c:pt>
              </c:strCache>
            </c:strRef>
          </c:tx>
          <c:spPr>
            <a:ln w="28575">
              <a:noFill/>
            </a:ln>
          </c:spPr>
          <c:marker>
            <c:symbol val="triangle"/>
            <c:size val="5"/>
            <c:spPr>
              <a:solidFill>
                <a:srgbClr val="FFFF00"/>
              </a:solidFill>
              <a:ln>
                <a:solidFill>
                  <a:srgbClr val="FFFF00"/>
                </a:solidFill>
                <a:prstDash val="solid"/>
              </a:ln>
            </c:spPr>
          </c:marker>
          <c:xVal>
            <c:numRef>
              <c:f>'EN13445-3'!$J$99:$J$103</c:f>
              <c:numCache>
                <c:formatCode>General</c:formatCode>
                <c:ptCount val="5"/>
                <c:pt idx="0">
                  <c:v>1</c:v>
                </c:pt>
                <c:pt idx="1">
                  <c:v>2</c:v>
                </c:pt>
                <c:pt idx="2">
                  <c:v>3</c:v>
                </c:pt>
                <c:pt idx="3">
                  <c:v>4</c:v>
                </c:pt>
                <c:pt idx="4">
                  <c:v>5</c:v>
                </c:pt>
              </c:numCache>
            </c:numRef>
          </c:xVal>
          <c:yVal>
            <c:numRef>
              <c:f>'EN13445-3'!$M$99:$M$103</c:f>
              <c:numCache>
                <c:formatCode>General</c:formatCode>
                <c:ptCount val="5"/>
                <c:pt idx="0">
                  <c:v>1</c:v>
                </c:pt>
                <c:pt idx="1">
                  <c:v>1.22</c:v>
                </c:pt>
                <c:pt idx="2">
                  <c:v>2.89</c:v>
                </c:pt>
                <c:pt idx="3">
                  <c:v>5.27</c:v>
                </c:pt>
                <c:pt idx="4">
                  <c:v>8.3800000000000008</c:v>
                </c:pt>
              </c:numCache>
            </c:numRef>
          </c:yVal>
          <c:smooth val="0"/>
        </c:ser>
        <c:dLbls>
          <c:showLegendKey val="0"/>
          <c:showVal val="0"/>
          <c:showCatName val="0"/>
          <c:showSerName val="0"/>
          <c:showPercent val="0"/>
          <c:showBubbleSize val="0"/>
        </c:dLbls>
        <c:axId val="103383424"/>
        <c:axId val="103385728"/>
      </c:scatterChart>
      <c:valAx>
        <c:axId val="103383424"/>
        <c:scaling>
          <c:orientation val="minMax"/>
          <c:max val="5"/>
          <c:min val="1"/>
        </c:scaling>
        <c:delete val="0"/>
        <c:axPos val="b"/>
        <c:title>
          <c:tx>
            <c:rich>
              <a:bodyPr/>
              <a:lstStyle/>
              <a:p>
                <a:pPr>
                  <a:defRPr sz="800" b="0" i="0" u="none" strike="noStrike" baseline="0">
                    <a:solidFill>
                      <a:srgbClr val="000000"/>
                    </a:solidFill>
                    <a:latin typeface="Arial"/>
                    <a:ea typeface="Arial"/>
                    <a:cs typeface="Arial"/>
                  </a:defRPr>
                </a:pPr>
                <a:r>
                  <a:rPr lang="en-US"/>
                  <a:t>g0/g1</a:t>
                </a:r>
              </a:p>
            </c:rich>
          </c:tx>
          <c:layout>
            <c:manualLayout>
              <c:xMode val="edge"/>
              <c:yMode val="edge"/>
              <c:x val="0.48095349924083713"/>
              <c:y val="0.927680798004987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03385728"/>
        <c:crosses val="autoZero"/>
        <c:crossBetween val="midCat"/>
      </c:valAx>
      <c:valAx>
        <c:axId val="103385728"/>
        <c:scaling>
          <c:logBase val="10"/>
          <c:orientation val="minMax"/>
          <c:max val="100"/>
        </c:scaling>
        <c:delete val="0"/>
        <c:axPos val="l"/>
        <c:majorGridlines>
          <c:spPr>
            <a:ln w="3175">
              <a:solidFill>
                <a:srgbClr val="000000"/>
              </a:solidFill>
              <a:prstDash val="solid"/>
            </a:ln>
          </c:spPr>
        </c:majorGridlines>
        <c:title>
          <c:tx>
            <c:rich>
              <a:bodyPr/>
              <a:lstStyle/>
              <a:p>
                <a:pPr>
                  <a:defRPr sz="800" b="0" i="0" u="none" strike="noStrike" baseline="0">
                    <a:solidFill>
                      <a:srgbClr val="000000"/>
                    </a:solidFill>
                    <a:latin typeface="Arial"/>
                    <a:ea typeface="Arial"/>
                    <a:cs typeface="Arial"/>
                  </a:defRPr>
                </a:pPr>
                <a:r>
                  <a:rPr lang="en-US"/>
                  <a:t>phi</a:t>
                </a:r>
              </a:p>
            </c:rich>
          </c:tx>
          <c:layout>
            <c:manualLayout>
              <c:xMode val="edge"/>
              <c:yMode val="edge"/>
              <c:x val="2.1428621253304626E-2"/>
              <c:y val="0.48628428927680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03383424"/>
        <c:crosses val="autoZero"/>
        <c:crossBetween val="midCat"/>
      </c:valAx>
      <c:spPr>
        <a:solidFill>
          <a:srgbClr val="C0C0C0"/>
        </a:solidFill>
        <a:ln w="12700">
          <a:solidFill>
            <a:srgbClr val="808080"/>
          </a:solidFill>
          <a:prstDash val="solid"/>
        </a:ln>
      </c:spPr>
    </c:plotArea>
    <c:legend>
      <c:legendPos val="r"/>
      <c:layout>
        <c:manualLayout>
          <c:xMode val="edge"/>
          <c:yMode val="edge"/>
          <c:x val="0.16904801210940315"/>
          <c:y val="0.17705735660847879"/>
          <c:w val="7.8571611262116967E-2"/>
          <c:h val="0.14463840399002495"/>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046728971962617"/>
          <c:y val="7.6687116564417179E-2"/>
          <c:w val="0.67990654205607481"/>
          <c:h val="0.7975460122699386"/>
        </c:manualLayout>
      </c:layout>
      <c:lineChart>
        <c:grouping val="standard"/>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cat>
            <c:numRef>
              <c:f>'DIN weld neck'!$I$45:$I$50</c:f>
              <c:numCache>
                <c:formatCode>General</c:formatCode>
                <c:ptCount val="6"/>
                <c:pt idx="0">
                  <c:v>1</c:v>
                </c:pt>
                <c:pt idx="1">
                  <c:v>2</c:v>
                </c:pt>
                <c:pt idx="2">
                  <c:v>3</c:v>
                </c:pt>
                <c:pt idx="3">
                  <c:v>4</c:v>
                </c:pt>
                <c:pt idx="4">
                  <c:v>5</c:v>
                </c:pt>
                <c:pt idx="5">
                  <c:v>6</c:v>
                </c:pt>
              </c:numCache>
            </c:numRef>
          </c:cat>
          <c:val>
            <c:numRef>
              <c:f>'DIN weld neck'!$K$45:$K$50</c:f>
              <c:numCache>
                <c:formatCode>General</c:formatCode>
                <c:ptCount val="6"/>
                <c:pt idx="0">
                  <c:v>10</c:v>
                </c:pt>
                <c:pt idx="1">
                  <c:v>20</c:v>
                </c:pt>
                <c:pt idx="2">
                  <c:v>30</c:v>
                </c:pt>
                <c:pt idx="3">
                  <c:v>40</c:v>
                </c:pt>
                <c:pt idx="4">
                  <c:v>10</c:v>
                </c:pt>
                <c:pt idx="5">
                  <c:v>20</c:v>
                </c:pt>
              </c:numCache>
            </c:numRef>
          </c:val>
          <c:smooth val="0"/>
        </c:ser>
        <c:ser>
          <c:idx val="1"/>
          <c:order val="1"/>
          <c:spPr>
            <a:ln w="12700">
              <a:solidFill>
                <a:srgbClr val="FF00FF"/>
              </a:solidFill>
              <a:prstDash val="solid"/>
            </a:ln>
          </c:spPr>
          <c:marker>
            <c:symbol val="square"/>
            <c:size val="5"/>
            <c:spPr>
              <a:solidFill>
                <a:srgbClr val="FF00FF"/>
              </a:solidFill>
              <a:ln>
                <a:solidFill>
                  <a:srgbClr val="FF00FF"/>
                </a:solidFill>
                <a:prstDash val="solid"/>
              </a:ln>
            </c:spPr>
          </c:marker>
          <c:cat>
            <c:numRef>
              <c:f>'DIN weld neck'!$I$45:$I$50</c:f>
              <c:numCache>
                <c:formatCode>General</c:formatCode>
                <c:ptCount val="6"/>
                <c:pt idx="0">
                  <c:v>1</c:v>
                </c:pt>
                <c:pt idx="1">
                  <c:v>2</c:v>
                </c:pt>
                <c:pt idx="2">
                  <c:v>3</c:v>
                </c:pt>
                <c:pt idx="3">
                  <c:v>4</c:v>
                </c:pt>
                <c:pt idx="4">
                  <c:v>5</c:v>
                </c:pt>
                <c:pt idx="5">
                  <c:v>6</c:v>
                </c:pt>
              </c:numCache>
            </c:numRef>
          </c:cat>
          <c:val>
            <c:numRef>
              <c:f>'DIN weld neck'!$L$45:$L$50</c:f>
              <c:numCache>
                <c:formatCode>General</c:formatCode>
                <c:ptCount val="6"/>
                <c:pt idx="0">
                  <c:v>20</c:v>
                </c:pt>
                <c:pt idx="1">
                  <c:v>30</c:v>
                </c:pt>
                <c:pt idx="2">
                  <c:v>40</c:v>
                </c:pt>
                <c:pt idx="3">
                  <c:v>50</c:v>
                </c:pt>
                <c:pt idx="4">
                  <c:v>100</c:v>
                </c:pt>
                <c:pt idx="5">
                  <c:v>200</c:v>
                </c:pt>
              </c:numCache>
            </c:numRef>
          </c:val>
          <c:smooth val="0"/>
        </c:ser>
        <c:ser>
          <c:idx val="2"/>
          <c:order val="2"/>
          <c:spPr>
            <a:ln w="12700">
              <a:solidFill>
                <a:srgbClr val="FFFF00"/>
              </a:solidFill>
              <a:prstDash val="solid"/>
            </a:ln>
          </c:spPr>
          <c:marker>
            <c:symbol val="triangle"/>
            <c:size val="5"/>
            <c:spPr>
              <a:solidFill>
                <a:srgbClr val="FFFF00"/>
              </a:solidFill>
              <a:ln>
                <a:solidFill>
                  <a:srgbClr val="FFFF00"/>
                </a:solidFill>
                <a:prstDash val="solid"/>
              </a:ln>
            </c:spPr>
          </c:marker>
          <c:val>
            <c:numRef>
              <c:f>'DIN weld neck'!$J$45:$J$50</c:f>
              <c:numCache>
                <c:formatCode>General</c:formatCode>
                <c:ptCount val="6"/>
                <c:pt idx="0">
                  <c:v>14.142135623730951</c:v>
                </c:pt>
                <c:pt idx="1">
                  <c:v>24.494897427831781</c:v>
                </c:pt>
                <c:pt idx="2">
                  <c:v>34.641016151377549</c:v>
                </c:pt>
                <c:pt idx="3">
                  <c:v>44.721359549995796</c:v>
                </c:pt>
                <c:pt idx="4">
                  <c:v>31.622776601683793</c:v>
                </c:pt>
                <c:pt idx="5">
                  <c:v>63.245553203367585</c:v>
                </c:pt>
              </c:numCache>
            </c:numRef>
          </c:val>
          <c:smooth val="0"/>
        </c:ser>
        <c:dLbls>
          <c:showLegendKey val="0"/>
          <c:showVal val="0"/>
          <c:showCatName val="0"/>
          <c:showSerName val="0"/>
          <c:showPercent val="0"/>
          <c:showBubbleSize val="0"/>
        </c:dLbls>
        <c:marker val="1"/>
        <c:smooth val="0"/>
        <c:axId val="108899712"/>
        <c:axId val="109446656"/>
      </c:lineChart>
      <c:catAx>
        <c:axId val="108899712"/>
        <c:scaling>
          <c:orientation val="minMax"/>
        </c:scaling>
        <c:delete val="0"/>
        <c:axPos val="b"/>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09446656"/>
        <c:crosses val="autoZero"/>
        <c:auto val="1"/>
        <c:lblAlgn val="ctr"/>
        <c:lblOffset val="100"/>
        <c:tickLblSkip val="1"/>
        <c:tickMarkSkip val="1"/>
        <c:noMultiLvlLbl val="0"/>
      </c:catAx>
      <c:valAx>
        <c:axId val="109446656"/>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08899712"/>
        <c:crosses val="autoZero"/>
        <c:crossBetween val="between"/>
      </c:valAx>
      <c:spPr>
        <a:solidFill>
          <a:srgbClr val="C0C0C0"/>
        </a:solidFill>
        <a:ln w="12700">
          <a:solidFill>
            <a:srgbClr val="808080"/>
          </a:solidFill>
          <a:prstDash val="solid"/>
        </a:ln>
      </c:spPr>
    </c:plotArea>
    <c:legend>
      <c:legendPos val="r"/>
      <c:layout>
        <c:manualLayout>
          <c:xMode val="edge"/>
          <c:yMode val="edge"/>
          <c:x val="0.80607476635514019"/>
          <c:y val="0.38650306748466257"/>
          <c:w val="0.17523364485981308"/>
          <c:h val="0.17791411042944785"/>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trlProps/ctrlProp1.xml><?xml version="1.0" encoding="utf-8"?>
<formControlPr xmlns="http://schemas.microsoft.com/office/spreadsheetml/2009/9/main" objectType="Drop" dropStyle="combo" dx="16" fmlaLink="$E$26" fmlaRange="'gasket factors'!$C$8:$C$61" noThreeD="1" sel="51" val="46"/>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Style="combo" dx="16" fmlaLink="$E$9" fmlaRange="$O$9:$O$11" noThreeD="1" val="0"/>
</file>

<file path=xl/ctrlProps/ctrlProp4.xml><?xml version="1.0" encoding="utf-8"?>
<formControlPr xmlns="http://schemas.microsoft.com/office/spreadsheetml/2009/9/main" objectType="Drop" dropStyle="combo" dx="16" fmlaLink="$E$29" fmlaRange="[0]!boltsize" noThreeD="1" sel="3" val="2"/>
</file>

<file path=xl/ctrlProps/ctrlProp5.xml><?xml version="1.0" encoding="utf-8"?>
<formControlPr xmlns="http://schemas.microsoft.com/office/spreadsheetml/2009/9/main" objectType="Drop" dropStyle="combo" dx="16" fmlaLink="$I$31" fmlaRange="'gasket factors'!$C$8:$C$64" noThreeD="1" sel="55" val="49"/>
</file>

<file path=xl/ctrlProps/ctrlProp6.xml><?xml version="1.0" encoding="utf-8"?>
<formControlPr xmlns="http://schemas.microsoft.com/office/spreadsheetml/2009/9/main" objectType="Drop" dropStyle="combo" dx="16" fmlaLink="$I$25" fmlaRange="[0]!boltsize" noThreeD="1" sel="29" val="24"/>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Drop" dropStyle="combo" dx="16" fmlaLink="$K$29" fmlaRange="[0]!boltsize" noThreeD="1" sel="3" val="2"/>
</file>

<file path=xl/ctrlProps/ctrlProp9.xml><?xml version="1.0" encoding="utf-8"?>
<formControlPr xmlns="http://schemas.microsoft.com/office/spreadsheetml/2009/9/main" objectType="Drop" dropStyle="combo" dx="16" fmlaLink="$K$32" fmlaRange="[0]!boltsize" noThreeD="1" sel="3" val="2"/>
</file>

<file path=xl/ctrlProps/ctrlProp10.xml><?xml version="1.0" encoding="utf-8"?>
<formControlPr xmlns="http://schemas.microsoft.com/office/spreadsheetml/2009/9/main" objectType="Drop" dropStyle="combo" dx="16" fmlaLink="$K$41" fmlaRange="'DIN2505'!$Q$41:$Q$42" noThreeD="1" val="0"/>
</file>

<file path=xl/ctrlProps/ctrlProp11.xml><?xml version="1.0" encoding="utf-8"?>
<formControlPr xmlns="http://schemas.microsoft.com/office/spreadsheetml/2009/9/main" objectType="Drop" dropStyle="combo" dx="16" fmlaLink="$E$27" fmlaRange="'gasket factors'!$C$8:$C$61" noThreeD="1" sel="7" val="6"/>
</file>

<file path=xl/ctrlProps/ctrlProp12.xml><?xml version="1.0" encoding="utf-8"?>
<formControlPr xmlns="http://schemas.microsoft.com/office/spreadsheetml/2009/9/main" objectType="Drop" dropStyle="combo" dx="16" fmlaLink="$J$29" fmlaRange="[0]!boltsize" noThreeD="1" sel="3" val="0"/>
</file>

<file path=xl/ctrlProps/ctrlProp13.xml><?xml version="1.0" encoding="utf-8"?>
<formControlPr xmlns="http://schemas.microsoft.com/office/spreadsheetml/2009/9/main" objectType="Drop" dropStyle="combo" dx="16" fmlaLink="$E$26" fmlaRange="'gasket factors'!$C$8:$C$61" noThreeD="1" sel="31" val="29"/>
</file>

<file path=xl/ctrlProps/ctrlProp14.xml><?xml version="1.0" encoding="utf-8"?>
<formControlPr xmlns="http://schemas.microsoft.com/office/spreadsheetml/2009/9/main" objectType="Drop" dropStyle="combo" dx="16" fmlaLink="$E$8" fmlaRange="$O$8:$O$10" noThreeD="1" val="0"/>
</file>

<file path=xl/drawings/_rels/drawing1.x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3.jpeg"/></Relationships>
</file>

<file path=xl/drawings/_rels/drawing6.x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drawing8.x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657225</xdr:colOff>
          <xdr:row>25</xdr:row>
          <xdr:rowOff>28575</xdr:rowOff>
        </xdr:from>
        <xdr:to>
          <xdr:col>4</xdr:col>
          <xdr:colOff>219075</xdr:colOff>
          <xdr:row>26</xdr:row>
          <xdr:rowOff>66675</xdr:rowOff>
        </xdr:to>
        <xdr:sp macro="" textlink="">
          <xdr:nvSpPr>
            <xdr:cNvPr id="7175" name="Drop Down 7" hidden="1">
              <a:extLst>
                <a:ext uri="{63B3BB69-23CF-44E3-9099-C40C66FF867C}">
                  <a14:compatExt spid="_x0000_s7175"/>
                </a:ext>
              </a:extLst>
            </xdr:cNvPr>
            <xdr:cNvSpPr/>
          </xdr:nvSpPr>
          <xdr:spPr>
            <a:xfrm>
              <a:off x="0" y="0"/>
              <a:ext cx="0" cy="0"/>
            </a:xfrm>
            <a:prstGeom prst="rect">
              <a:avLst/>
            </a:prstGeom>
          </xdr:spPr>
        </xdr:sp>
        <xdr:clientData/>
      </xdr:twoCellAnchor>
    </mc:Choice>
    <mc:Fallback/>
  </mc:AlternateContent>
  <xdr:twoCellAnchor>
    <xdr:from>
      <xdr:col>15</xdr:col>
      <xdr:colOff>438150</xdr:colOff>
      <xdr:row>105</xdr:row>
      <xdr:rowOff>0</xdr:rowOff>
    </xdr:from>
    <xdr:to>
      <xdr:col>23</xdr:col>
      <xdr:colOff>57150</xdr:colOff>
      <xdr:row>128</xdr:row>
      <xdr:rowOff>28575</xdr:rowOff>
    </xdr:to>
    <xdr:graphicFrame macro="">
      <xdr:nvGraphicFramePr>
        <xdr:cNvPr id="7176"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95250</xdr:colOff>
      <xdr:row>105</xdr:row>
      <xdr:rowOff>9525</xdr:rowOff>
    </xdr:from>
    <xdr:to>
      <xdr:col>15</xdr:col>
      <xdr:colOff>361950</xdr:colOff>
      <xdr:row>128</xdr:row>
      <xdr:rowOff>47625</xdr:rowOff>
    </xdr:to>
    <xdr:graphicFrame macro="">
      <xdr:nvGraphicFramePr>
        <xdr:cNvPr id="7177"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7</xdr:col>
          <xdr:colOff>66675</xdr:colOff>
          <xdr:row>84</xdr:row>
          <xdr:rowOff>142875</xdr:rowOff>
        </xdr:from>
        <xdr:to>
          <xdr:col>8</xdr:col>
          <xdr:colOff>581025</xdr:colOff>
          <xdr:row>86</xdr:row>
          <xdr:rowOff>95250</xdr:rowOff>
        </xdr:to>
        <xdr:sp macro="" textlink="">
          <xdr:nvSpPr>
            <xdr:cNvPr id="7180" name="Button 12" hidden="1">
              <a:extLst>
                <a:ext uri="{63B3BB69-23CF-44E3-9099-C40C66FF867C}">
                  <a14:compatExt spid="_x0000_s718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BS5500 Factoren</a:t>
              </a:r>
            </a:p>
          </xdr:txBody>
        </xdr:sp>
        <xdr:clientData fPrintsWithSheet="0"/>
      </xdr:twoCellAnchor>
    </mc:Choice>
    <mc:Fallback/>
  </mc:AlternateContent>
  <xdr:twoCellAnchor editAs="oneCell">
    <xdr:from>
      <xdr:col>7</xdr:col>
      <xdr:colOff>114300</xdr:colOff>
      <xdr:row>4</xdr:row>
      <xdr:rowOff>19050</xdr:rowOff>
    </xdr:from>
    <xdr:to>
      <xdr:col>13</xdr:col>
      <xdr:colOff>542925</xdr:colOff>
      <xdr:row>28</xdr:row>
      <xdr:rowOff>0</xdr:rowOff>
    </xdr:to>
    <xdr:pic>
      <xdr:nvPicPr>
        <xdr:cNvPr id="7182" name="Picture 1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219825" y="733425"/>
          <a:ext cx="4229100" cy="390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561975</xdr:colOff>
          <xdr:row>8</xdr:row>
          <xdr:rowOff>0</xdr:rowOff>
        </xdr:from>
        <xdr:to>
          <xdr:col>3</xdr:col>
          <xdr:colOff>847725</xdr:colOff>
          <xdr:row>9</xdr:row>
          <xdr:rowOff>0</xdr:rowOff>
        </xdr:to>
        <xdr:sp macro="" textlink="">
          <xdr:nvSpPr>
            <xdr:cNvPr id="7183" name="Drop Down 15" hidden="1">
              <a:extLst>
                <a:ext uri="{63B3BB69-23CF-44E3-9099-C40C66FF867C}">
                  <a14:compatExt spid="_x0000_s71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28</xdr:row>
          <xdr:rowOff>0</xdr:rowOff>
        </xdr:from>
        <xdr:to>
          <xdr:col>4</xdr:col>
          <xdr:colOff>304800</xdr:colOff>
          <xdr:row>28</xdr:row>
          <xdr:rowOff>200025</xdr:rowOff>
        </xdr:to>
        <xdr:sp macro="" textlink="">
          <xdr:nvSpPr>
            <xdr:cNvPr id="7199" name="Drop Down 31" hidden="1">
              <a:extLst>
                <a:ext uri="{63B3BB69-23CF-44E3-9099-C40C66FF867C}">
                  <a14:compatExt spid="_x0000_s719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38100</xdr:colOff>
          <xdr:row>30</xdr:row>
          <xdr:rowOff>19050</xdr:rowOff>
        </xdr:from>
        <xdr:to>
          <xdr:col>7</xdr:col>
          <xdr:colOff>504825</xdr:colOff>
          <xdr:row>30</xdr:row>
          <xdr:rowOff>219075</xdr:rowOff>
        </xdr:to>
        <xdr:sp macro="" textlink="">
          <xdr:nvSpPr>
            <xdr:cNvPr id="10241" name="Drop Down 1" hidden="1">
              <a:extLst>
                <a:ext uri="{63B3BB69-23CF-44E3-9099-C40C66FF867C}">
                  <a14:compatExt spid="_x0000_s102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23</xdr:row>
          <xdr:rowOff>152400</xdr:rowOff>
        </xdr:from>
        <xdr:to>
          <xdr:col>5</xdr:col>
          <xdr:colOff>0</xdr:colOff>
          <xdr:row>24</xdr:row>
          <xdr:rowOff>190500</xdr:rowOff>
        </xdr:to>
        <xdr:sp macro="" textlink="">
          <xdr:nvSpPr>
            <xdr:cNvPr id="10243" name="Drop Down 3" hidden="1">
              <a:extLst>
                <a:ext uri="{63B3BB69-23CF-44E3-9099-C40C66FF867C}">
                  <a14:compatExt spid="_x0000_s102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209550</xdr:colOff>
          <xdr:row>103</xdr:row>
          <xdr:rowOff>19050</xdr:rowOff>
        </xdr:from>
        <xdr:to>
          <xdr:col>12</xdr:col>
          <xdr:colOff>28575</xdr:colOff>
          <xdr:row>104</xdr:row>
          <xdr:rowOff>152400</xdr:rowOff>
        </xdr:to>
        <xdr:sp macro="" textlink="">
          <xdr:nvSpPr>
            <xdr:cNvPr id="10245" name="Button 5" hidden="1">
              <a:extLst>
                <a:ext uri="{63B3BB69-23CF-44E3-9099-C40C66FF867C}">
                  <a14:compatExt spid="_x0000_s102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Factors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28</xdr:row>
          <xdr:rowOff>19050</xdr:rowOff>
        </xdr:from>
        <xdr:to>
          <xdr:col>4</xdr:col>
          <xdr:colOff>1152525</xdr:colOff>
          <xdr:row>29</xdr:row>
          <xdr:rowOff>0</xdr:rowOff>
        </xdr:to>
        <xdr:sp macro="" textlink="">
          <xdr:nvSpPr>
            <xdr:cNvPr id="13313" name="Drop Down 1" hidden="1">
              <a:extLst>
                <a:ext uri="{63B3BB69-23CF-44E3-9099-C40C66FF867C}">
                  <a14:compatExt spid="_x0000_s13313"/>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29</xdr:col>
      <xdr:colOff>400050</xdr:colOff>
      <xdr:row>4</xdr:row>
      <xdr:rowOff>0</xdr:rowOff>
    </xdr:from>
    <xdr:to>
      <xdr:col>39</xdr:col>
      <xdr:colOff>285750</xdr:colOff>
      <xdr:row>29</xdr:row>
      <xdr:rowOff>142875</xdr:rowOff>
    </xdr:to>
    <xdr:pic>
      <xdr:nvPicPr>
        <xdr:cNvPr id="1433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164300" y="647700"/>
          <a:ext cx="5981700" cy="41529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4</xdr:col>
          <xdr:colOff>28575</xdr:colOff>
          <xdr:row>31</xdr:row>
          <xdr:rowOff>9525</xdr:rowOff>
        </xdr:from>
        <xdr:to>
          <xdr:col>4</xdr:col>
          <xdr:colOff>1162050</xdr:colOff>
          <xdr:row>32</xdr:row>
          <xdr:rowOff>0</xdr:rowOff>
        </xdr:to>
        <xdr:sp macro="" textlink="">
          <xdr:nvSpPr>
            <xdr:cNvPr id="14338" name="Drop Down 2" hidden="1">
              <a:extLst>
                <a:ext uri="{63B3BB69-23CF-44E3-9099-C40C66FF867C}">
                  <a14:compatExt spid="_x0000_s143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4</xdr:col>
          <xdr:colOff>1162050</xdr:colOff>
          <xdr:row>40</xdr:row>
          <xdr:rowOff>209550</xdr:rowOff>
        </xdr:to>
        <xdr:sp macro="" textlink="">
          <xdr:nvSpPr>
            <xdr:cNvPr id="14339" name="Drop Down 3" hidden="1">
              <a:extLst>
                <a:ext uri="{63B3BB69-23CF-44E3-9099-C40C66FF867C}">
                  <a14:compatExt spid="_x0000_s14339"/>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190500</xdr:colOff>
      <xdr:row>28</xdr:row>
      <xdr:rowOff>152400</xdr:rowOff>
    </xdr:from>
    <xdr:to>
      <xdr:col>5</xdr:col>
      <xdr:colOff>295275</xdr:colOff>
      <xdr:row>46</xdr:row>
      <xdr:rowOff>95250</xdr:rowOff>
    </xdr:to>
    <xdr:pic>
      <xdr:nvPicPr>
        <xdr:cNvPr id="2049" name="Picture 1" descr="DIN flens"/>
        <xdr:cNvPicPr>
          <a:picLocks noChangeAspect="1" noChangeArrowheads="1"/>
        </xdr:cNvPicPr>
      </xdr:nvPicPr>
      <xdr:blipFill>
        <a:blip xmlns:r="http://schemas.openxmlformats.org/officeDocument/2006/relationships" r:embed="rId1">
          <a:lum bright="-48000" contrast="72000"/>
          <a:extLst>
            <a:ext uri="{28A0092B-C50C-407E-A947-70E740481C1C}">
              <a14:useLocalDpi xmlns:a14="http://schemas.microsoft.com/office/drawing/2010/main" val="0"/>
            </a:ext>
          </a:extLst>
        </a:blip>
        <a:srcRect/>
        <a:stretch>
          <a:fillRect/>
        </a:stretch>
      </xdr:blipFill>
      <xdr:spPr bwMode="auto">
        <a:xfrm>
          <a:off x="190500" y="5419725"/>
          <a:ext cx="4343400" cy="3114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542925</xdr:colOff>
      <xdr:row>19</xdr:row>
      <xdr:rowOff>19050</xdr:rowOff>
    </xdr:from>
    <xdr:to>
      <xdr:col>16</xdr:col>
      <xdr:colOff>352425</xdr:colOff>
      <xdr:row>37</xdr:row>
      <xdr:rowOff>66675</xdr:rowOff>
    </xdr:to>
    <xdr:graphicFrame macro="">
      <xdr:nvGraphicFramePr>
        <xdr:cNvPr id="2051"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66675</xdr:colOff>
      <xdr:row>4</xdr:row>
      <xdr:rowOff>57150</xdr:rowOff>
    </xdr:from>
    <xdr:to>
      <xdr:col>17</xdr:col>
      <xdr:colOff>247650</xdr:colOff>
      <xdr:row>21</xdr:row>
      <xdr:rowOff>38100</xdr:rowOff>
    </xdr:to>
    <xdr:pic>
      <xdr:nvPicPr>
        <xdr:cNvPr id="9219" name="Picture 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96125" y="771525"/>
          <a:ext cx="5057775" cy="2733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409575</xdr:colOff>
      <xdr:row>4</xdr:row>
      <xdr:rowOff>57150</xdr:rowOff>
    </xdr:from>
    <xdr:to>
      <xdr:col>24</xdr:col>
      <xdr:colOff>533400</xdr:colOff>
      <xdr:row>21</xdr:row>
      <xdr:rowOff>114300</xdr:rowOff>
    </xdr:to>
    <xdr:pic>
      <xdr:nvPicPr>
        <xdr:cNvPr id="9220" name="Picture 4"/>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315825" y="771525"/>
          <a:ext cx="4391025" cy="2809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657225</xdr:colOff>
          <xdr:row>26</xdr:row>
          <xdr:rowOff>28575</xdr:rowOff>
        </xdr:from>
        <xdr:to>
          <xdr:col>4</xdr:col>
          <xdr:colOff>266700</xdr:colOff>
          <xdr:row>27</xdr:row>
          <xdr:rowOff>66675</xdr:rowOff>
        </xdr:to>
        <xdr:sp macro="" textlink="">
          <xdr:nvSpPr>
            <xdr:cNvPr id="9221" name="Drop Down 5" hidden="1">
              <a:extLst>
                <a:ext uri="{63B3BB69-23CF-44E3-9099-C40C66FF867C}">
                  <a14:compatExt spid="_x0000_s9221"/>
                </a:ext>
              </a:extLst>
            </xdr:cNvPr>
            <xdr:cNvSpPr/>
          </xdr:nvSpPr>
          <xdr:spPr>
            <a:xfrm>
              <a:off x="0" y="0"/>
              <a:ext cx="0" cy="0"/>
            </a:xfrm>
            <a:prstGeom prst="rect">
              <a:avLst/>
            </a:prstGeom>
          </xdr:spPr>
        </xdr:sp>
        <xdr:clientData/>
      </xdr:twoCellAnchor>
    </mc:Choice>
    <mc:Fallback/>
  </mc:AlternateContent>
  <xdr:twoCellAnchor editAs="oneCell">
    <xdr:from>
      <xdr:col>11</xdr:col>
      <xdr:colOff>0</xdr:colOff>
      <xdr:row>44</xdr:row>
      <xdr:rowOff>0</xdr:rowOff>
    </xdr:from>
    <xdr:to>
      <xdr:col>22</xdr:col>
      <xdr:colOff>371475</xdr:colOff>
      <xdr:row>63</xdr:row>
      <xdr:rowOff>19050</xdr:rowOff>
    </xdr:to>
    <xdr:pic>
      <xdr:nvPicPr>
        <xdr:cNvPr id="9225" name="Picture 9"/>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248650" y="7191375"/>
          <a:ext cx="7077075" cy="3095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28</xdr:row>
          <xdr:rowOff>19050</xdr:rowOff>
        </xdr:from>
        <xdr:to>
          <xdr:col>5</xdr:col>
          <xdr:colOff>0</xdr:colOff>
          <xdr:row>28</xdr:row>
          <xdr:rowOff>219075</xdr:rowOff>
        </xdr:to>
        <xdr:sp macro="" textlink="">
          <xdr:nvSpPr>
            <xdr:cNvPr id="12289" name="Drop Down 1"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657225</xdr:colOff>
          <xdr:row>25</xdr:row>
          <xdr:rowOff>28575</xdr:rowOff>
        </xdr:from>
        <xdr:to>
          <xdr:col>4</xdr:col>
          <xdr:colOff>219075</xdr:colOff>
          <xdr:row>26</xdr:row>
          <xdr:rowOff>66675</xdr:rowOff>
        </xdr:to>
        <xdr:sp macro="" textlink="">
          <xdr:nvSpPr>
            <xdr:cNvPr id="8196" name="Drop Down 4" hidden="1">
              <a:extLst>
                <a:ext uri="{63B3BB69-23CF-44E3-9099-C40C66FF867C}">
                  <a14:compatExt spid="_x0000_s8196"/>
                </a:ext>
              </a:extLst>
            </xdr:cNvPr>
            <xdr:cNvSpPr/>
          </xdr:nvSpPr>
          <xdr:spPr>
            <a:xfrm>
              <a:off x="0" y="0"/>
              <a:ext cx="0" cy="0"/>
            </a:xfrm>
            <a:prstGeom prst="rect">
              <a:avLst/>
            </a:prstGeom>
          </xdr:spPr>
        </xdr:sp>
        <xdr:clientData/>
      </xdr:twoCellAnchor>
    </mc:Choice>
    <mc:Fallback/>
  </mc:AlternateContent>
  <xdr:twoCellAnchor editAs="oneCell">
    <xdr:from>
      <xdr:col>7</xdr:col>
      <xdr:colOff>114300</xdr:colOff>
      <xdr:row>4</xdr:row>
      <xdr:rowOff>19050</xdr:rowOff>
    </xdr:from>
    <xdr:to>
      <xdr:col>13</xdr:col>
      <xdr:colOff>542925</xdr:colOff>
      <xdr:row>28</xdr:row>
      <xdr:rowOff>0</xdr:rowOff>
    </xdr:to>
    <xdr:pic>
      <xdr:nvPicPr>
        <xdr:cNvPr id="8203" name="Picture 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219825" y="733425"/>
          <a:ext cx="4229100" cy="390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561975</xdr:colOff>
          <xdr:row>7</xdr:row>
          <xdr:rowOff>0</xdr:rowOff>
        </xdr:from>
        <xdr:to>
          <xdr:col>3</xdr:col>
          <xdr:colOff>847725</xdr:colOff>
          <xdr:row>8</xdr:row>
          <xdr:rowOff>0</xdr:rowOff>
        </xdr:to>
        <xdr:sp macro="" textlink="">
          <xdr:nvSpPr>
            <xdr:cNvPr id="8204" name="Drop Down 12" hidden="1">
              <a:extLst>
                <a:ext uri="{63B3BB69-23CF-44E3-9099-C40C66FF867C}">
                  <a14:compatExt spid="_x0000_s8204"/>
                </a:ext>
              </a:extLst>
            </xdr:cNvPr>
            <xdr:cNvSpPr/>
          </xdr:nvSpPr>
          <xdr:spPr>
            <a:xfrm>
              <a:off x="0" y="0"/>
              <a:ext cx="0" cy="0"/>
            </a:xfrm>
            <a:prstGeom prst="rect">
              <a:avLst/>
            </a:prstGeom>
          </xdr:spPr>
        </xdr:sp>
        <xdr:clientData/>
      </xdr:twoCellAnchor>
    </mc:Choice>
    <mc:Fallback/>
  </mc:AlternateContent>
  <xdr:twoCellAnchor editAs="oneCell">
    <xdr:from>
      <xdr:col>9</xdr:col>
      <xdr:colOff>57150</xdr:colOff>
      <xdr:row>38</xdr:row>
      <xdr:rowOff>28575</xdr:rowOff>
    </xdr:from>
    <xdr:to>
      <xdr:col>15</xdr:col>
      <xdr:colOff>57150</xdr:colOff>
      <xdr:row>48</xdr:row>
      <xdr:rowOff>114300</xdr:rowOff>
    </xdr:to>
    <xdr:pic>
      <xdr:nvPicPr>
        <xdr:cNvPr id="8222" name="Picture 30"/>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6286500"/>
          <a:ext cx="3733800" cy="1704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Data\Excel\Bolt%20torqu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Imperial calc"/>
      <sheetName val="Metric calc"/>
      <sheetName val="Blank protocol"/>
      <sheetName val="Imperial protocol"/>
      <sheetName val="Metric protocol"/>
      <sheetName val="Gaskets"/>
      <sheetName val="Bolt data"/>
      <sheetName val="Bolt material data"/>
    </sheetNames>
    <sheetDataSet>
      <sheetData sheetId="0"/>
      <sheetData sheetId="1"/>
      <sheetData sheetId="2"/>
      <sheetData sheetId="3"/>
      <sheetData sheetId="4"/>
      <sheetData sheetId="5"/>
      <sheetData sheetId="6"/>
      <sheetData sheetId="7">
        <row r="8">
          <cell r="A8">
            <v>1</v>
          </cell>
          <cell r="B8" t="str">
            <v>1/2"</v>
          </cell>
          <cell r="C8" t="str">
            <v>UNC</v>
          </cell>
          <cell r="D8">
            <v>12.7</v>
          </cell>
          <cell r="E8">
            <v>11.43</v>
          </cell>
          <cell r="F8">
            <v>10.58418</v>
          </cell>
          <cell r="G8">
            <v>60</v>
          </cell>
          <cell r="H8">
            <v>13</v>
          </cell>
          <cell r="I8">
            <v>1.953846153846154</v>
          </cell>
          <cell r="J8">
            <v>81.096612000000007</v>
          </cell>
          <cell r="K8">
            <v>91.548203999999998</v>
          </cell>
          <cell r="L8">
            <v>22.225000000000001</v>
          </cell>
          <cell r="M8">
            <v>5.0999999999999997E-2</v>
          </cell>
        </row>
        <row r="9">
          <cell r="A9">
            <v>2</v>
          </cell>
          <cell r="B9" t="str">
            <v>5/8"</v>
          </cell>
          <cell r="C9" t="str">
            <v>UNC</v>
          </cell>
          <cell r="D9">
            <v>15.875</v>
          </cell>
          <cell r="E9">
            <v>14.376399999999999</v>
          </cell>
          <cell r="F9">
            <v>13.375639999999999</v>
          </cell>
          <cell r="G9">
            <v>60</v>
          </cell>
          <cell r="H9">
            <v>11</v>
          </cell>
          <cell r="I9">
            <v>2.3090909090909091</v>
          </cell>
          <cell r="J9">
            <v>130.32232000000002</v>
          </cell>
          <cell r="K9">
            <v>145.80616000000001</v>
          </cell>
          <cell r="L9">
            <v>26.987500000000001</v>
          </cell>
          <cell r="M9">
            <v>5.0999999999999997E-2</v>
          </cell>
        </row>
        <row r="10">
          <cell r="A10">
            <v>3</v>
          </cell>
          <cell r="B10" t="str">
            <v>3/4"</v>
          </cell>
          <cell r="C10" t="str">
            <v>UNC</v>
          </cell>
          <cell r="D10">
            <v>19.05</v>
          </cell>
          <cell r="E10">
            <v>17.399000000000001</v>
          </cell>
          <cell r="F10">
            <v>16.29918</v>
          </cell>
          <cell r="G10">
            <v>60</v>
          </cell>
          <cell r="H10">
            <v>10</v>
          </cell>
          <cell r="I10">
            <v>2.54</v>
          </cell>
          <cell r="J10">
            <v>194.83831999999998</v>
          </cell>
          <cell r="K10">
            <v>215.48344</v>
          </cell>
          <cell r="L10">
            <v>31.75</v>
          </cell>
          <cell r="M10">
            <v>5.0999999999999997E-2</v>
          </cell>
          <cell r="N10" t="str">
            <v>Hydratight HL series: tool no. 02</v>
          </cell>
          <cell r="O10" t="str">
            <v>maroon</v>
          </cell>
          <cell r="P10">
            <v>136000</v>
          </cell>
          <cell r="Q10">
            <v>73.5</v>
          </cell>
          <cell r="R10">
            <v>49</v>
          </cell>
          <cell r="S10">
            <v>23.5</v>
          </cell>
          <cell r="T10">
            <v>160</v>
          </cell>
          <cell r="U10">
            <v>1357</v>
          </cell>
        </row>
        <row r="11">
          <cell r="A11">
            <v>4</v>
          </cell>
          <cell r="B11" t="str">
            <v>7/8"</v>
          </cell>
          <cell r="C11" t="str">
            <v>UNC</v>
          </cell>
          <cell r="D11">
            <v>22.225000000000001</v>
          </cell>
          <cell r="E11">
            <v>20.391120000000001</v>
          </cell>
          <cell r="F11">
            <v>19.16938</v>
          </cell>
          <cell r="G11">
            <v>60</v>
          </cell>
          <cell r="H11">
            <v>9</v>
          </cell>
          <cell r="I11">
            <v>2.822222222222222</v>
          </cell>
          <cell r="J11">
            <v>270.32203999999996</v>
          </cell>
          <cell r="K11">
            <v>298.06392</v>
          </cell>
          <cell r="L11">
            <v>36.512500000000003</v>
          </cell>
          <cell r="M11">
            <v>5.0999999999999997E-2</v>
          </cell>
          <cell r="N11" t="str">
            <v>Hydratight HL series: tool no. 02</v>
          </cell>
          <cell r="O11" t="str">
            <v>maroon</v>
          </cell>
          <cell r="P11">
            <v>136000</v>
          </cell>
          <cell r="Q11">
            <v>73.5</v>
          </cell>
          <cell r="R11">
            <v>51</v>
          </cell>
          <cell r="S11">
            <v>26.5</v>
          </cell>
          <cell r="T11">
            <v>160</v>
          </cell>
          <cell r="U11">
            <v>1357</v>
          </cell>
        </row>
        <row r="12">
          <cell r="A12">
            <v>5</v>
          </cell>
          <cell r="B12" t="str">
            <v>1"</v>
          </cell>
          <cell r="C12" t="str">
            <v>UNC</v>
          </cell>
          <cell r="D12">
            <v>25.4</v>
          </cell>
          <cell r="E12">
            <v>23.337519999999998</v>
          </cell>
          <cell r="F12">
            <v>21.963380000000001</v>
          </cell>
          <cell r="G12">
            <v>60</v>
          </cell>
          <cell r="H12">
            <v>8</v>
          </cell>
          <cell r="I12">
            <v>3.1749999999999998</v>
          </cell>
          <cell r="J12">
            <v>355.48316</v>
          </cell>
          <cell r="K12">
            <v>390.96695999999997</v>
          </cell>
          <cell r="L12">
            <v>41.274999999999999</v>
          </cell>
          <cell r="M12">
            <v>7.5999999999999998E-2</v>
          </cell>
          <cell r="N12" t="str">
            <v>Hydratight HL series: tool no. 01</v>
          </cell>
          <cell r="O12" t="str">
            <v>dark green</v>
          </cell>
          <cell r="P12">
            <v>228000</v>
          </cell>
          <cell r="Q12">
            <v>86</v>
          </cell>
          <cell r="R12">
            <v>59</v>
          </cell>
          <cell r="S12">
            <v>29.5</v>
          </cell>
          <cell r="T12">
            <v>180</v>
          </cell>
          <cell r="U12">
            <v>2277</v>
          </cell>
        </row>
        <row r="13">
          <cell r="A13">
            <v>6</v>
          </cell>
          <cell r="B13" t="str">
            <v>1 1/8"</v>
          </cell>
          <cell r="C13" t="str">
            <v>8UN</v>
          </cell>
          <cell r="D13">
            <v>28.574999999999999</v>
          </cell>
          <cell r="E13">
            <v>26.512520000000002</v>
          </cell>
          <cell r="F13">
            <v>25.138380000000002</v>
          </cell>
          <cell r="G13">
            <v>60</v>
          </cell>
          <cell r="H13">
            <v>8</v>
          </cell>
          <cell r="I13">
            <v>3.1749999999999998</v>
          </cell>
          <cell r="J13">
            <v>469.67647999999997</v>
          </cell>
          <cell r="K13">
            <v>509.6764</v>
          </cell>
          <cell r="L13">
            <v>46.037500000000001</v>
          </cell>
          <cell r="M13">
            <v>7.5999999999999998E-2</v>
          </cell>
          <cell r="N13" t="str">
            <v>Hydratight HL series: tool no. 01</v>
          </cell>
          <cell r="O13" t="str">
            <v>dark green</v>
          </cell>
          <cell r="P13">
            <v>228000</v>
          </cell>
          <cell r="Q13">
            <v>86</v>
          </cell>
          <cell r="R13">
            <v>60</v>
          </cell>
          <cell r="S13">
            <v>32</v>
          </cell>
          <cell r="T13">
            <v>185</v>
          </cell>
          <cell r="U13">
            <v>2277</v>
          </cell>
        </row>
        <row r="14">
          <cell r="A14">
            <v>7</v>
          </cell>
          <cell r="B14" t="str">
            <v>1 1/4"</v>
          </cell>
          <cell r="C14" t="str">
            <v>8UN</v>
          </cell>
          <cell r="D14">
            <v>31.75</v>
          </cell>
          <cell r="E14">
            <v>29.687520000000003</v>
          </cell>
          <cell r="F14">
            <v>28.313380000000002</v>
          </cell>
          <cell r="G14">
            <v>60</v>
          </cell>
          <cell r="H14">
            <v>8</v>
          </cell>
          <cell r="I14">
            <v>3.1749999999999998</v>
          </cell>
          <cell r="J14">
            <v>599.35364000000004</v>
          </cell>
          <cell r="K14">
            <v>645.16</v>
          </cell>
          <cell r="L14">
            <v>50.8</v>
          </cell>
          <cell r="M14">
            <v>7.5999999999999998E-2</v>
          </cell>
          <cell r="N14" t="str">
            <v>Hydratight HL series: tool no. 1</v>
          </cell>
          <cell r="O14" t="str">
            <v>dark blue</v>
          </cell>
          <cell r="P14">
            <v>348000</v>
          </cell>
          <cell r="Q14">
            <v>107</v>
          </cell>
          <cell r="R14">
            <v>73</v>
          </cell>
          <cell r="S14">
            <v>36</v>
          </cell>
          <cell r="T14">
            <v>197</v>
          </cell>
          <cell r="U14">
            <v>3484</v>
          </cell>
        </row>
        <row r="15">
          <cell r="A15">
            <v>8</v>
          </cell>
          <cell r="B15" t="str">
            <v>1 3/8"</v>
          </cell>
          <cell r="C15" t="str">
            <v>8UN</v>
          </cell>
          <cell r="D15">
            <v>34.924999999999997</v>
          </cell>
          <cell r="E15">
            <v>32.862520000000004</v>
          </cell>
          <cell r="F15">
            <v>31.488379999999999</v>
          </cell>
          <cell r="G15">
            <v>60</v>
          </cell>
          <cell r="H15">
            <v>8</v>
          </cell>
          <cell r="I15">
            <v>3.1749999999999998</v>
          </cell>
          <cell r="J15">
            <v>745.15980000000002</v>
          </cell>
          <cell r="K15">
            <v>795.48228000000006</v>
          </cell>
          <cell r="L15">
            <v>55.5625</v>
          </cell>
          <cell r="M15">
            <v>7.5999999999999998E-2</v>
          </cell>
          <cell r="N15" t="str">
            <v>Hydratight HL series: tool no. 1</v>
          </cell>
          <cell r="O15" t="str">
            <v>dark blue</v>
          </cell>
          <cell r="P15">
            <v>348000</v>
          </cell>
          <cell r="Q15">
            <v>107</v>
          </cell>
          <cell r="R15">
            <v>76</v>
          </cell>
          <cell r="S15">
            <v>39</v>
          </cell>
          <cell r="T15">
            <v>200</v>
          </cell>
          <cell r="U15">
            <v>3484</v>
          </cell>
        </row>
        <row r="16">
          <cell r="A16">
            <v>9</v>
          </cell>
          <cell r="B16" t="str">
            <v>1 1/2"</v>
          </cell>
          <cell r="C16" t="str">
            <v>8UN</v>
          </cell>
          <cell r="D16">
            <v>38.1</v>
          </cell>
          <cell r="E16">
            <v>36.037520000000001</v>
          </cell>
          <cell r="F16">
            <v>34.663380000000004</v>
          </cell>
          <cell r="G16">
            <v>60</v>
          </cell>
          <cell r="H16">
            <v>8</v>
          </cell>
          <cell r="I16">
            <v>3.1749999999999998</v>
          </cell>
          <cell r="J16">
            <v>906.44979999999998</v>
          </cell>
          <cell r="K16">
            <v>962.57871999999998</v>
          </cell>
          <cell r="L16">
            <v>60.325000000000003</v>
          </cell>
          <cell r="M16">
            <v>0.10199999999999999</v>
          </cell>
          <cell r="N16" t="str">
            <v>Hydratight HL series: tool no. 2</v>
          </cell>
          <cell r="O16" t="str">
            <v>orange</v>
          </cell>
          <cell r="P16">
            <v>428000</v>
          </cell>
          <cell r="Q16">
            <v>115</v>
          </cell>
          <cell r="R16">
            <v>80</v>
          </cell>
          <cell r="S16">
            <v>42</v>
          </cell>
          <cell r="T16">
            <v>213</v>
          </cell>
          <cell r="U16">
            <v>4276</v>
          </cell>
        </row>
        <row r="17">
          <cell r="A17">
            <v>10</v>
          </cell>
          <cell r="B17" t="str">
            <v>1 5/8"</v>
          </cell>
          <cell r="C17" t="str">
            <v>8UN</v>
          </cell>
          <cell r="D17">
            <v>41.274999999999999</v>
          </cell>
          <cell r="E17">
            <v>39.212520000000005</v>
          </cell>
          <cell r="F17">
            <v>37.838380000000001</v>
          </cell>
          <cell r="G17">
            <v>60</v>
          </cell>
          <cell r="H17">
            <v>8</v>
          </cell>
          <cell r="I17">
            <v>3.1749999999999998</v>
          </cell>
          <cell r="J17">
            <v>1083.8688</v>
          </cell>
          <cell r="K17">
            <v>1148.3848</v>
          </cell>
          <cell r="L17">
            <v>65.087500000000006</v>
          </cell>
          <cell r="M17">
            <v>0.10199999999999999</v>
          </cell>
          <cell r="N17" t="str">
            <v>Hydratight HL series: tool no. 3</v>
          </cell>
          <cell r="O17" t="str">
            <v>black</v>
          </cell>
          <cell r="P17">
            <v>591000</v>
          </cell>
          <cell r="Q17">
            <v>134</v>
          </cell>
          <cell r="R17">
            <v>91</v>
          </cell>
          <cell r="S17">
            <v>45</v>
          </cell>
          <cell r="T17">
            <v>214</v>
          </cell>
          <cell r="U17">
            <v>5909</v>
          </cell>
        </row>
        <row r="18">
          <cell r="A18">
            <v>11</v>
          </cell>
          <cell r="B18" t="str">
            <v>1 3/4"</v>
          </cell>
          <cell r="C18" t="str">
            <v>8UN</v>
          </cell>
          <cell r="D18">
            <v>44.45</v>
          </cell>
          <cell r="E18">
            <v>42.387520000000002</v>
          </cell>
          <cell r="F18">
            <v>41.013379999999998</v>
          </cell>
          <cell r="G18">
            <v>60</v>
          </cell>
          <cell r="H18">
            <v>8</v>
          </cell>
          <cell r="I18">
            <v>3.1749999999999998</v>
          </cell>
          <cell r="J18">
            <v>1277.4168</v>
          </cell>
          <cell r="K18">
            <v>1341.9328</v>
          </cell>
          <cell r="L18">
            <v>69.849999999999994</v>
          </cell>
          <cell r="M18">
            <v>0.10199999999999999</v>
          </cell>
          <cell r="N18" t="str">
            <v>Hydratight HL series: tool no. 3</v>
          </cell>
          <cell r="O18" t="str">
            <v>black</v>
          </cell>
          <cell r="P18">
            <v>591000</v>
          </cell>
          <cell r="Q18">
            <v>134</v>
          </cell>
          <cell r="R18">
            <v>94</v>
          </cell>
          <cell r="S18">
            <v>49</v>
          </cell>
          <cell r="T18">
            <v>217</v>
          </cell>
          <cell r="U18">
            <v>5909</v>
          </cell>
        </row>
        <row r="19">
          <cell r="A19">
            <v>12</v>
          </cell>
          <cell r="B19" t="str">
            <v>1 7/8"</v>
          </cell>
          <cell r="C19" t="str">
            <v>8UN</v>
          </cell>
          <cell r="D19">
            <v>47.625</v>
          </cell>
          <cell r="E19">
            <v>45.562519999999999</v>
          </cell>
          <cell r="F19">
            <v>44.188380000000002</v>
          </cell>
          <cell r="G19">
            <v>60</v>
          </cell>
          <cell r="H19">
            <v>8</v>
          </cell>
          <cell r="I19">
            <v>3.1749999999999998</v>
          </cell>
          <cell r="J19">
            <v>1483.8679999999999</v>
          </cell>
          <cell r="K19">
            <v>1554.8356000000001</v>
          </cell>
          <cell r="L19">
            <v>74.612499999999997</v>
          </cell>
          <cell r="M19">
            <v>0.10199999999999999</v>
          </cell>
          <cell r="N19" t="str">
            <v>Hydratight HL series: tool no. 4</v>
          </cell>
          <cell r="O19" t="str">
            <v>red</v>
          </cell>
          <cell r="P19">
            <v>788000</v>
          </cell>
          <cell r="Q19">
            <v>150</v>
          </cell>
          <cell r="R19">
            <v>102</v>
          </cell>
          <cell r="S19">
            <v>51</v>
          </cell>
          <cell r="T19">
            <v>222</v>
          </cell>
          <cell r="U19">
            <v>7881</v>
          </cell>
        </row>
        <row r="20">
          <cell r="A20">
            <v>13</v>
          </cell>
          <cell r="B20" t="str">
            <v>2"</v>
          </cell>
          <cell r="C20" t="str">
            <v>8UN</v>
          </cell>
          <cell r="D20">
            <v>50.8</v>
          </cell>
          <cell r="E20">
            <v>48.737520000000004</v>
          </cell>
          <cell r="F20">
            <v>47.363379999999999</v>
          </cell>
          <cell r="G20">
            <v>60</v>
          </cell>
          <cell r="H20">
            <v>8</v>
          </cell>
          <cell r="I20">
            <v>3.1749999999999998</v>
          </cell>
          <cell r="J20">
            <v>1709.674</v>
          </cell>
          <cell r="K20">
            <v>1787.0932</v>
          </cell>
          <cell r="L20">
            <v>79.375</v>
          </cell>
          <cell r="M20">
            <v>0.10199999999999999</v>
          </cell>
          <cell r="N20" t="str">
            <v>Hydratight HL series: tool no. 4</v>
          </cell>
          <cell r="O20" t="str">
            <v>red</v>
          </cell>
          <cell r="P20">
            <v>788000</v>
          </cell>
          <cell r="Q20">
            <v>150</v>
          </cell>
          <cell r="R20">
            <v>105</v>
          </cell>
          <cell r="S20">
            <v>54</v>
          </cell>
          <cell r="T20">
            <v>225</v>
          </cell>
          <cell r="U20">
            <v>7881</v>
          </cell>
        </row>
        <row r="21">
          <cell r="A21">
            <v>14</v>
          </cell>
          <cell r="B21" t="str">
            <v>2 1/4"</v>
          </cell>
          <cell r="C21" t="str">
            <v>8UN</v>
          </cell>
          <cell r="D21">
            <v>57.15</v>
          </cell>
          <cell r="E21">
            <v>55.087520000000005</v>
          </cell>
          <cell r="F21">
            <v>53.713380000000001</v>
          </cell>
          <cell r="G21">
            <v>60</v>
          </cell>
          <cell r="H21">
            <v>8</v>
          </cell>
          <cell r="I21">
            <v>3.1749999999999998</v>
          </cell>
          <cell r="J21">
            <v>2206.4472000000001</v>
          </cell>
          <cell r="K21">
            <v>2296.7696000000001</v>
          </cell>
          <cell r="L21">
            <v>88.9</v>
          </cell>
          <cell r="M21">
            <v>0.127</v>
          </cell>
          <cell r="N21" t="str">
            <v>Hydratight HL series: tool no. 5</v>
          </cell>
          <cell r="O21" t="str">
            <v>grey</v>
          </cell>
          <cell r="P21">
            <v>989000</v>
          </cell>
          <cell r="Q21">
            <v>167</v>
          </cell>
          <cell r="R21">
            <v>119</v>
          </cell>
          <cell r="S21">
            <v>59</v>
          </cell>
          <cell r="T21">
            <v>231</v>
          </cell>
          <cell r="U21">
            <v>9893</v>
          </cell>
        </row>
        <row r="22">
          <cell r="A22">
            <v>15</v>
          </cell>
          <cell r="B22" t="str">
            <v>2 1/2"</v>
          </cell>
          <cell r="C22" t="str">
            <v>8UN</v>
          </cell>
          <cell r="D22">
            <v>63.5</v>
          </cell>
          <cell r="E22">
            <v>61.437519999999999</v>
          </cell>
          <cell r="F22">
            <v>60.063380000000002</v>
          </cell>
          <cell r="G22">
            <v>60</v>
          </cell>
          <cell r="H22">
            <v>8</v>
          </cell>
          <cell r="I22">
            <v>3.1749999999999998</v>
          </cell>
          <cell r="J22">
            <v>2767.7363999999998</v>
          </cell>
          <cell r="K22">
            <v>2864.5104000000001</v>
          </cell>
          <cell r="L22">
            <v>98.424999999999997</v>
          </cell>
          <cell r="M22">
            <v>0.127</v>
          </cell>
          <cell r="N22" t="str">
            <v>Hydratight HL series: tool no. 6</v>
          </cell>
          <cell r="O22" t="str">
            <v>white</v>
          </cell>
          <cell r="P22">
            <v>1274000</v>
          </cell>
          <cell r="Q22">
            <v>190</v>
          </cell>
          <cell r="R22">
            <v>131</v>
          </cell>
          <cell r="S22">
            <v>65</v>
          </cell>
          <cell r="T22">
            <v>248</v>
          </cell>
          <cell r="U22">
            <v>12743</v>
          </cell>
        </row>
        <row r="23">
          <cell r="A23">
            <v>16</v>
          </cell>
          <cell r="B23" t="str">
            <v>2 3/4"</v>
          </cell>
          <cell r="C23" t="str">
            <v>8UN</v>
          </cell>
          <cell r="D23">
            <v>69.849999999999994</v>
          </cell>
          <cell r="E23">
            <v>67.787520000000001</v>
          </cell>
          <cell r="F23">
            <v>66.413380000000004</v>
          </cell>
          <cell r="G23">
            <v>60</v>
          </cell>
          <cell r="H23">
            <v>8</v>
          </cell>
          <cell r="I23">
            <v>3.1749999999999998</v>
          </cell>
          <cell r="J23">
            <v>3393.5416</v>
          </cell>
          <cell r="K23">
            <v>3503.2187999999996</v>
          </cell>
          <cell r="L23">
            <v>107.95</v>
          </cell>
          <cell r="M23">
            <v>0.127</v>
          </cell>
          <cell r="N23" t="str">
            <v>Hydratight HL series: tool no. 7</v>
          </cell>
          <cell r="O23" t="str">
            <v>brown</v>
          </cell>
          <cell r="P23">
            <v>1594000</v>
          </cell>
          <cell r="Q23">
            <v>208</v>
          </cell>
          <cell r="R23">
            <v>146</v>
          </cell>
          <cell r="S23">
            <v>71</v>
          </cell>
          <cell r="T23">
            <v>258</v>
          </cell>
          <cell r="U23">
            <v>15944</v>
          </cell>
        </row>
        <row r="24">
          <cell r="A24">
            <v>17</v>
          </cell>
          <cell r="B24" t="str">
            <v>3"</v>
          </cell>
          <cell r="C24" t="str">
            <v>8UN</v>
          </cell>
          <cell r="D24">
            <v>76.2</v>
          </cell>
          <cell r="E24">
            <v>74.137520000000009</v>
          </cell>
          <cell r="F24">
            <v>72.763379999999998</v>
          </cell>
          <cell r="G24">
            <v>60</v>
          </cell>
          <cell r="H24">
            <v>8</v>
          </cell>
          <cell r="I24">
            <v>3.1749999999999998</v>
          </cell>
          <cell r="J24">
            <v>4077.4112</v>
          </cell>
          <cell r="K24">
            <v>4199.9915999999994</v>
          </cell>
          <cell r="L24">
            <v>117.47500000000001</v>
          </cell>
          <cell r="M24">
            <v>0.152</v>
          </cell>
          <cell r="N24" t="str">
            <v>Hydratight HL series: tool no. 8</v>
          </cell>
          <cell r="O24" t="str">
            <v>light green</v>
          </cell>
          <cell r="P24">
            <v>1832000</v>
          </cell>
          <cell r="Q24">
            <v>222</v>
          </cell>
          <cell r="R24">
            <v>157</v>
          </cell>
          <cell r="S24">
            <v>77</v>
          </cell>
          <cell r="T24">
            <v>265</v>
          </cell>
          <cell r="U24">
            <v>18321</v>
          </cell>
        </row>
        <row r="25">
          <cell r="A25">
            <v>18</v>
          </cell>
          <cell r="B25" t="str">
            <v>3 1/4"</v>
          </cell>
          <cell r="C25" t="str">
            <v>8UN</v>
          </cell>
          <cell r="D25">
            <v>82.55</v>
          </cell>
          <cell r="E25">
            <v>80.487520000000004</v>
          </cell>
          <cell r="F25">
            <v>79.113380000000006</v>
          </cell>
          <cell r="G25">
            <v>60</v>
          </cell>
          <cell r="H25">
            <v>8</v>
          </cell>
          <cell r="I25">
            <v>3.1749999999999998</v>
          </cell>
          <cell r="J25">
            <v>4832.2484000000004</v>
          </cell>
          <cell r="K25">
            <v>4961.2804000000006</v>
          </cell>
          <cell r="L25">
            <v>127</v>
          </cell>
          <cell r="M25">
            <v>0.152</v>
          </cell>
          <cell r="N25" t="str">
            <v>Hydratight HL series: tool no. 8.5</v>
          </cell>
          <cell r="O25" t="str">
            <v>light blue</v>
          </cell>
          <cell r="P25">
            <v>2178000</v>
          </cell>
          <cell r="Q25">
            <v>239</v>
          </cell>
          <cell r="R25">
            <v>175</v>
          </cell>
          <cell r="S25">
            <v>87</v>
          </cell>
          <cell r="T25">
            <v>274</v>
          </cell>
          <cell r="U25">
            <v>21778</v>
          </cell>
        </row>
        <row r="26">
          <cell r="A26">
            <v>19</v>
          </cell>
          <cell r="B26" t="str">
            <v>3 1/2"</v>
          </cell>
          <cell r="C26" t="str">
            <v>8UN</v>
          </cell>
          <cell r="D26">
            <v>88.9</v>
          </cell>
          <cell r="E26">
            <v>86.837519999999998</v>
          </cell>
          <cell r="F26">
            <v>85.463380000000001</v>
          </cell>
          <cell r="G26">
            <v>60</v>
          </cell>
          <cell r="H26">
            <v>8</v>
          </cell>
          <cell r="I26">
            <v>3.1749999999999998</v>
          </cell>
          <cell r="J26">
            <v>5645.15</v>
          </cell>
          <cell r="K26">
            <v>5780.6336000000001</v>
          </cell>
          <cell r="L26">
            <v>136.52500000000001</v>
          </cell>
          <cell r="M26">
            <v>0.152</v>
          </cell>
          <cell r="N26" t="str">
            <v>Hydratight HL series: tool no. 8.5</v>
          </cell>
          <cell r="O26" t="str">
            <v>light blue</v>
          </cell>
          <cell r="P26">
            <v>2178000</v>
          </cell>
          <cell r="Q26">
            <v>239</v>
          </cell>
          <cell r="R26">
            <v>177</v>
          </cell>
          <cell r="S26">
            <v>93</v>
          </cell>
          <cell r="T26">
            <v>281</v>
          </cell>
          <cell r="U26">
            <v>21778</v>
          </cell>
        </row>
        <row r="27">
          <cell r="A27">
            <v>20</v>
          </cell>
          <cell r="B27" t="str">
            <v>3 3/4"</v>
          </cell>
          <cell r="C27" t="str">
            <v>8UN</v>
          </cell>
          <cell r="D27">
            <v>95.25</v>
          </cell>
          <cell r="E27">
            <v>93.187520000000006</v>
          </cell>
          <cell r="F27">
            <v>91.813379999999995</v>
          </cell>
          <cell r="G27">
            <v>60</v>
          </cell>
          <cell r="H27">
            <v>8</v>
          </cell>
          <cell r="I27">
            <v>3.1749999999999998</v>
          </cell>
          <cell r="J27">
            <v>6522.5675999999994</v>
          </cell>
          <cell r="K27">
            <v>6670.9543999999996</v>
          </cell>
          <cell r="L27">
            <v>146.05000000000001</v>
          </cell>
          <cell r="M27">
            <v>0.152</v>
          </cell>
          <cell r="N27" t="str">
            <v>Hydratight HL series: tool no. 10</v>
          </cell>
          <cell r="O27" t="str">
            <v>gold</v>
          </cell>
          <cell r="P27">
            <v>2615000</v>
          </cell>
          <cell r="Q27">
            <v>276</v>
          </cell>
          <cell r="R27">
            <v>202</v>
          </cell>
          <cell r="S27">
            <v>99</v>
          </cell>
          <cell r="T27">
            <v>296</v>
          </cell>
          <cell r="U27">
            <v>26147</v>
          </cell>
        </row>
        <row r="28">
          <cell r="A28">
            <v>21</v>
          </cell>
          <cell r="B28" t="str">
            <v>4"</v>
          </cell>
          <cell r="C28" t="str">
            <v>8UN</v>
          </cell>
          <cell r="D28">
            <v>101.6</v>
          </cell>
          <cell r="E28">
            <v>99.537520000000001</v>
          </cell>
          <cell r="F28">
            <v>98.163380000000004</v>
          </cell>
          <cell r="G28">
            <v>60</v>
          </cell>
          <cell r="H28">
            <v>8</v>
          </cell>
          <cell r="I28">
            <v>3.1749999999999998</v>
          </cell>
          <cell r="J28">
            <v>7464.5011999999997</v>
          </cell>
          <cell r="K28">
            <v>7619.3396000000002</v>
          </cell>
          <cell r="L28">
            <v>155.57499999999999</v>
          </cell>
          <cell r="M28">
            <v>0.152</v>
          </cell>
          <cell r="N28" t="str">
            <v>Hydratight HL series: tool no. 10</v>
          </cell>
          <cell r="O28" t="str">
            <v>gold</v>
          </cell>
          <cell r="P28">
            <v>2615000</v>
          </cell>
          <cell r="Q28">
            <v>276</v>
          </cell>
          <cell r="R28">
            <v>212</v>
          </cell>
          <cell r="S28">
            <v>105</v>
          </cell>
          <cell r="T28">
            <v>302</v>
          </cell>
          <cell r="U28">
            <v>26147</v>
          </cell>
        </row>
        <row r="29">
          <cell r="B29" t="str">
            <v>Metric thread according ISO; coarse thread</v>
          </cell>
        </row>
        <row r="30">
          <cell r="A30">
            <v>23</v>
          </cell>
          <cell r="B30" t="str">
            <v>M12 x 1.75</v>
          </cell>
          <cell r="C30" t="str">
            <v>ISO</v>
          </cell>
          <cell r="D30">
            <v>12</v>
          </cell>
          <cell r="E30">
            <v>10.863</v>
          </cell>
          <cell r="F30">
            <v>9.8529999999999998</v>
          </cell>
          <cell r="G30">
            <v>60</v>
          </cell>
          <cell r="H30">
            <v>14.514285714285714</v>
          </cell>
          <cell r="I30">
            <v>1.75</v>
          </cell>
          <cell r="J30">
            <v>76.247717408269182</v>
          </cell>
          <cell r="K30">
            <v>84.26392695988423</v>
          </cell>
          <cell r="L30">
            <v>19</v>
          </cell>
          <cell r="M30">
            <v>5.0999999999999997E-2</v>
          </cell>
        </row>
        <row r="31">
          <cell r="A31">
            <v>24</v>
          </cell>
          <cell r="B31" t="str">
            <v>M14 x 2</v>
          </cell>
          <cell r="C31" t="str">
            <v>ISO</v>
          </cell>
          <cell r="D31">
            <v>14</v>
          </cell>
          <cell r="E31">
            <v>12.701000000000001</v>
          </cell>
          <cell r="F31">
            <v>11.545999999999999</v>
          </cell>
          <cell r="G31">
            <v>60</v>
          </cell>
          <cell r="H31">
            <v>12.7</v>
          </cell>
          <cell r="I31">
            <v>2</v>
          </cell>
          <cell r="J31">
            <v>104.70152026870078</v>
          </cell>
          <cell r="K31">
            <v>115.43723477468026</v>
          </cell>
          <cell r="L31">
            <v>22</v>
          </cell>
          <cell r="M31">
            <v>5.0999999999999997E-2</v>
          </cell>
        </row>
        <row r="32">
          <cell r="A32">
            <v>25</v>
          </cell>
          <cell r="B32" t="str">
            <v>M16 x 2</v>
          </cell>
          <cell r="C32" t="str">
            <v>ISO</v>
          </cell>
          <cell r="D32">
            <v>16</v>
          </cell>
          <cell r="E32">
            <v>14.701000000000001</v>
          </cell>
          <cell r="F32">
            <v>13.545999999999999</v>
          </cell>
          <cell r="G32">
            <v>60</v>
          </cell>
          <cell r="H32">
            <v>12.7</v>
          </cell>
          <cell r="I32">
            <v>2</v>
          </cell>
          <cell r="J32">
            <v>144.11594170063833</v>
          </cell>
          <cell r="K32">
            <v>156.66592596406591</v>
          </cell>
          <cell r="L32">
            <v>24</v>
          </cell>
          <cell r="M32">
            <v>5.0999999999999997E-2</v>
          </cell>
          <cell r="N32" t="str">
            <v>Hydratight HL series: tool no. 02</v>
          </cell>
          <cell r="O32" t="str">
            <v>maroon</v>
          </cell>
          <cell r="P32">
            <v>136000</v>
          </cell>
          <cell r="Q32">
            <v>73.5</v>
          </cell>
          <cell r="R32">
            <v>49</v>
          </cell>
          <cell r="S32">
            <v>23.5</v>
          </cell>
          <cell r="T32">
            <v>160</v>
          </cell>
          <cell r="U32">
            <v>1357</v>
          </cell>
        </row>
        <row r="33">
          <cell r="A33">
            <v>26</v>
          </cell>
          <cell r="B33" t="str">
            <v>M18 x 2.5</v>
          </cell>
          <cell r="C33" t="str">
            <v>ISO</v>
          </cell>
          <cell r="D33">
            <v>18</v>
          </cell>
          <cell r="E33">
            <v>16.376000000000001</v>
          </cell>
          <cell r="F33">
            <v>14.933</v>
          </cell>
          <cell r="G33">
            <v>60</v>
          </cell>
          <cell r="H33">
            <v>10.16</v>
          </cell>
          <cell r="I33">
            <v>2.5</v>
          </cell>
          <cell r="J33">
            <v>175.13946210835246</v>
          </cell>
          <cell r="K33">
            <v>192.47232091033888</v>
          </cell>
          <cell r="L33">
            <v>27</v>
          </cell>
          <cell r="M33">
            <v>5.0999999999999997E-2</v>
          </cell>
          <cell r="N33" t="str">
            <v>Hydratight HL series: tool no. 02</v>
          </cell>
          <cell r="O33" t="str">
            <v>maroon</v>
          </cell>
          <cell r="P33">
            <v>136000</v>
          </cell>
          <cell r="Q33">
            <v>73.5</v>
          </cell>
          <cell r="R33">
            <v>49</v>
          </cell>
          <cell r="S33">
            <v>23.5</v>
          </cell>
          <cell r="T33">
            <v>160</v>
          </cell>
          <cell r="U33">
            <v>1357</v>
          </cell>
        </row>
        <row r="34">
          <cell r="A34">
            <v>27</v>
          </cell>
          <cell r="B34" t="str">
            <v>M20 x 2.5</v>
          </cell>
          <cell r="C34" t="str">
            <v>ISO</v>
          </cell>
          <cell r="D34">
            <v>20</v>
          </cell>
          <cell r="E34">
            <v>18.376000000000001</v>
          </cell>
          <cell r="F34">
            <v>16.933</v>
          </cell>
          <cell r="G34">
            <v>60</v>
          </cell>
          <cell r="H34">
            <v>10.16</v>
          </cell>
          <cell r="I34">
            <v>2.5</v>
          </cell>
          <cell r="J34">
            <v>225.19445785799866</v>
          </cell>
          <cell r="K34">
            <v>244.79397575955002</v>
          </cell>
          <cell r="L34">
            <v>30</v>
          </cell>
          <cell r="M34">
            <v>5.0999999999999997E-2</v>
          </cell>
          <cell r="N34" t="str">
            <v>Hydratight HL series: tool no. 02</v>
          </cell>
          <cell r="O34" t="str">
            <v>maroon</v>
          </cell>
          <cell r="P34">
            <v>136000</v>
          </cell>
          <cell r="Q34">
            <v>73.5</v>
          </cell>
          <cell r="R34">
            <v>51</v>
          </cell>
          <cell r="S34">
            <v>26.5</v>
          </cell>
          <cell r="T34">
            <v>160</v>
          </cell>
          <cell r="U34">
            <v>1357</v>
          </cell>
        </row>
        <row r="35">
          <cell r="A35">
            <v>28</v>
          </cell>
          <cell r="B35" t="str">
            <v>M22 x 2.5</v>
          </cell>
          <cell r="C35" t="str">
            <v>ISO</v>
          </cell>
          <cell r="D35">
            <v>22</v>
          </cell>
          <cell r="E35">
            <v>20.376000000000001</v>
          </cell>
          <cell r="F35">
            <v>18.933</v>
          </cell>
          <cell r="G35">
            <v>60</v>
          </cell>
          <cell r="H35">
            <v>10.16</v>
          </cell>
          <cell r="I35">
            <v>2.5</v>
          </cell>
          <cell r="J35">
            <v>281.53263891482442</v>
          </cell>
          <cell r="K35">
            <v>303.39881591594082</v>
          </cell>
          <cell r="L35">
            <v>32</v>
          </cell>
          <cell r="M35">
            <v>5.0999999999999997E-2</v>
          </cell>
          <cell r="N35" t="str">
            <v>Hydratight HL series: tool no. 02</v>
          </cell>
          <cell r="O35" t="str">
            <v>maroon</v>
          </cell>
          <cell r="P35">
            <v>136000</v>
          </cell>
          <cell r="Q35">
            <v>73.5</v>
          </cell>
          <cell r="R35">
            <v>51</v>
          </cell>
          <cell r="S35">
            <v>26.5</v>
          </cell>
          <cell r="T35">
            <v>160</v>
          </cell>
          <cell r="U35">
            <v>1357</v>
          </cell>
        </row>
        <row r="36">
          <cell r="A36">
            <v>29</v>
          </cell>
          <cell r="B36" t="str">
            <v>M24 x 3</v>
          </cell>
          <cell r="C36" t="str">
            <v>ISO</v>
          </cell>
          <cell r="D36">
            <v>24</v>
          </cell>
          <cell r="E36">
            <v>22.050999999999998</v>
          </cell>
          <cell r="F36">
            <v>20.318999999999999</v>
          </cell>
          <cell r="G36">
            <v>60</v>
          </cell>
          <cell r="H36">
            <v>8.4666666666666668</v>
          </cell>
          <cell r="I36">
            <v>3</v>
          </cell>
          <cell r="J36">
            <v>324.26086882643619</v>
          </cell>
          <cell r="K36">
            <v>352.49001404001513</v>
          </cell>
          <cell r="L36">
            <v>36</v>
          </cell>
          <cell r="M36">
            <v>7.5999999999999998E-2</v>
          </cell>
          <cell r="N36" t="str">
            <v>Hydratight HL series: tool no. 01</v>
          </cell>
          <cell r="O36" t="str">
            <v>dark green</v>
          </cell>
          <cell r="P36">
            <v>228000</v>
          </cell>
          <cell r="Q36">
            <v>86</v>
          </cell>
          <cell r="R36">
            <v>59</v>
          </cell>
          <cell r="S36">
            <v>29.5</v>
          </cell>
          <cell r="T36">
            <v>180</v>
          </cell>
          <cell r="U36">
            <v>2277</v>
          </cell>
        </row>
        <row r="37">
          <cell r="A37">
            <v>30</v>
          </cell>
          <cell r="B37" t="str">
            <v>M27 x 3</v>
          </cell>
          <cell r="C37" t="str">
            <v>ISO</v>
          </cell>
          <cell r="D37">
            <v>27</v>
          </cell>
          <cell r="E37">
            <v>25.050999999999998</v>
          </cell>
          <cell r="F37">
            <v>23.318999999999999</v>
          </cell>
          <cell r="G37">
            <v>60</v>
          </cell>
          <cell r="H37">
            <v>8.4666666666666668</v>
          </cell>
          <cell r="I37">
            <v>3</v>
          </cell>
          <cell r="J37">
            <v>427.08048398944976</v>
          </cell>
          <cell r="K37">
            <v>459.39055806004183</v>
          </cell>
          <cell r="L37">
            <v>41</v>
          </cell>
          <cell r="M37">
            <v>7.5999999999999998E-2</v>
          </cell>
          <cell r="N37" t="str">
            <v>Hydratight HL series: tool no. 01</v>
          </cell>
          <cell r="O37" t="str">
            <v>dark green</v>
          </cell>
          <cell r="P37">
            <v>228000</v>
          </cell>
          <cell r="Q37">
            <v>86</v>
          </cell>
          <cell r="R37">
            <v>60</v>
          </cell>
          <cell r="S37">
            <v>32</v>
          </cell>
          <cell r="T37">
            <v>185</v>
          </cell>
          <cell r="U37">
            <v>2277</v>
          </cell>
        </row>
        <row r="38">
          <cell r="A38">
            <v>31</v>
          </cell>
          <cell r="B38" t="str">
            <v>M30 x 3.5</v>
          </cell>
          <cell r="C38" t="str">
            <v>ISO</v>
          </cell>
          <cell r="D38">
            <v>30</v>
          </cell>
          <cell r="E38">
            <v>27.727</v>
          </cell>
          <cell r="F38">
            <v>25.706</v>
          </cell>
          <cell r="G38">
            <v>60</v>
          </cell>
          <cell r="H38">
            <v>7.2571428571428571</v>
          </cell>
          <cell r="I38">
            <v>3.5</v>
          </cell>
          <cell r="J38">
            <v>518.98987801030626</v>
          </cell>
          <cell r="K38">
            <v>560.59472485082642</v>
          </cell>
          <cell r="L38">
            <v>46</v>
          </cell>
          <cell r="M38">
            <v>7.5999999999999998E-2</v>
          </cell>
          <cell r="N38" t="str">
            <v>Hydratight HL series: tool no. 1</v>
          </cell>
          <cell r="O38" t="str">
            <v>dark blue</v>
          </cell>
          <cell r="P38">
            <v>348000</v>
          </cell>
          <cell r="Q38">
            <v>107</v>
          </cell>
          <cell r="R38">
            <v>72</v>
          </cell>
          <cell r="S38">
            <v>36</v>
          </cell>
          <cell r="T38">
            <v>197</v>
          </cell>
          <cell r="U38">
            <v>3484</v>
          </cell>
        </row>
        <row r="39">
          <cell r="A39">
            <v>32</v>
          </cell>
          <cell r="B39" t="str">
            <v>M33 x 3.5</v>
          </cell>
          <cell r="C39" t="str">
            <v>ISO</v>
          </cell>
          <cell r="D39">
            <v>33</v>
          </cell>
          <cell r="E39">
            <v>30.727</v>
          </cell>
          <cell r="F39">
            <v>28.706</v>
          </cell>
          <cell r="G39">
            <v>60</v>
          </cell>
          <cell r="H39">
            <v>7.2571428571428571</v>
          </cell>
          <cell r="I39">
            <v>3.5</v>
          </cell>
          <cell r="J39">
            <v>647.19513261065219</v>
          </cell>
          <cell r="K39">
            <v>693.56184851585101</v>
          </cell>
          <cell r="L39">
            <v>50</v>
          </cell>
          <cell r="M39">
            <v>7.5999999999999998E-2</v>
          </cell>
          <cell r="N39" t="str">
            <v>Hydratight HL series: tool no. 1</v>
          </cell>
          <cell r="O39" t="str">
            <v>dark blue</v>
          </cell>
          <cell r="P39">
            <v>348000</v>
          </cell>
          <cell r="Q39">
            <v>107</v>
          </cell>
          <cell r="R39">
            <v>73</v>
          </cell>
          <cell r="S39">
            <v>36</v>
          </cell>
          <cell r="T39">
            <v>197</v>
          </cell>
          <cell r="U39">
            <v>3484</v>
          </cell>
        </row>
        <row r="40">
          <cell r="A40">
            <v>33</v>
          </cell>
          <cell r="B40" t="str">
            <v>M36 x 4</v>
          </cell>
          <cell r="C40" t="str">
            <v>ISO</v>
          </cell>
          <cell r="D40">
            <v>36</v>
          </cell>
          <cell r="E40">
            <v>33.402000000000001</v>
          </cell>
          <cell r="F40">
            <v>31.093</v>
          </cell>
          <cell r="G40">
            <v>60</v>
          </cell>
          <cell r="H40">
            <v>6.35</v>
          </cell>
          <cell r="I40">
            <v>4</v>
          </cell>
          <cell r="J40">
            <v>759.30303374381265</v>
          </cell>
          <cell r="K40">
            <v>816.73653677344942</v>
          </cell>
          <cell r="L40">
            <v>55</v>
          </cell>
          <cell r="M40">
            <v>0.10199999999999999</v>
          </cell>
          <cell r="N40" t="str">
            <v>Hydratight HL series: tool no. 1</v>
          </cell>
          <cell r="O40" t="str">
            <v>dark blue</v>
          </cell>
          <cell r="P40">
            <v>348000</v>
          </cell>
          <cell r="Q40">
            <v>107</v>
          </cell>
          <cell r="R40">
            <v>76</v>
          </cell>
          <cell r="S40">
            <v>39</v>
          </cell>
          <cell r="T40">
            <v>200</v>
          </cell>
          <cell r="U40">
            <v>3484</v>
          </cell>
        </row>
        <row r="41">
          <cell r="A41">
            <v>34</v>
          </cell>
          <cell r="B41" t="str">
            <v>M39 x 4</v>
          </cell>
          <cell r="C41" t="str">
            <v>ISO</v>
          </cell>
          <cell r="D41">
            <v>39</v>
          </cell>
          <cell r="E41">
            <v>36.402000000000001</v>
          </cell>
          <cell r="F41">
            <v>34.093000000000004</v>
          </cell>
          <cell r="G41">
            <v>60</v>
          </cell>
          <cell r="H41">
            <v>6.35</v>
          </cell>
          <cell r="I41">
            <v>4</v>
          </cell>
          <cell r="J41">
            <v>912.89392778149102</v>
          </cell>
          <cell r="K41">
            <v>975.7678838889816</v>
          </cell>
          <cell r="L41">
            <v>60</v>
          </cell>
          <cell r="M41">
            <v>0.10199999999999999</v>
          </cell>
          <cell r="N41" t="str">
            <v>Hydratight HL series: tool no. 2</v>
          </cell>
          <cell r="O41" t="str">
            <v>orange</v>
          </cell>
          <cell r="P41">
            <v>428000</v>
          </cell>
          <cell r="Q41">
            <v>115</v>
          </cell>
          <cell r="R41">
            <v>80</v>
          </cell>
          <cell r="S41">
            <v>42</v>
          </cell>
          <cell r="T41">
            <v>213</v>
          </cell>
          <cell r="U41">
            <v>4276</v>
          </cell>
        </row>
        <row r="42">
          <cell r="A42">
            <v>35</v>
          </cell>
          <cell r="B42" t="str">
            <v>M42 x 4.5</v>
          </cell>
          <cell r="C42" t="str">
            <v>ISO</v>
          </cell>
          <cell r="D42">
            <v>42</v>
          </cell>
          <cell r="E42">
            <v>39.076999999999998</v>
          </cell>
          <cell r="F42">
            <v>36.478999999999999</v>
          </cell>
          <cell r="G42">
            <v>60</v>
          </cell>
          <cell r="H42">
            <v>5.6444444444444439</v>
          </cell>
          <cell r="I42">
            <v>4.5</v>
          </cell>
          <cell r="J42">
            <v>1045.1430341623523</v>
          </cell>
          <cell r="K42">
            <v>1120.9024176961584</v>
          </cell>
          <cell r="L42">
            <v>65</v>
          </cell>
          <cell r="M42">
            <v>0.10199999999999999</v>
          </cell>
          <cell r="N42" t="str">
            <v>Hydratight HL series: tool no. 3</v>
          </cell>
          <cell r="O42" t="str">
            <v>black</v>
          </cell>
          <cell r="P42">
            <v>591000</v>
          </cell>
          <cell r="Q42">
            <v>134</v>
          </cell>
          <cell r="R42">
            <v>91</v>
          </cell>
          <cell r="S42">
            <v>45</v>
          </cell>
          <cell r="T42">
            <v>214</v>
          </cell>
          <cell r="U42">
            <v>5909</v>
          </cell>
        </row>
        <row r="43">
          <cell r="A43">
            <v>36</v>
          </cell>
          <cell r="B43" t="str">
            <v>M45 x 4.5</v>
          </cell>
          <cell r="C43" t="str">
            <v>ISO</v>
          </cell>
          <cell r="D43">
            <v>45</v>
          </cell>
          <cell r="E43">
            <v>42.076999999999998</v>
          </cell>
          <cell r="F43">
            <v>39.478999999999999</v>
          </cell>
          <cell r="G43">
            <v>60</v>
          </cell>
          <cell r="H43">
            <v>5.6444444444444439</v>
          </cell>
          <cell r="I43">
            <v>4.5</v>
          </cell>
          <cell r="J43">
            <v>1224.1148552483824</v>
          </cell>
          <cell r="K43">
            <v>1305.9956320677084</v>
          </cell>
          <cell r="L43">
            <v>70</v>
          </cell>
          <cell r="M43">
            <v>0.10199999999999999</v>
          </cell>
          <cell r="N43" t="str">
            <v>Hydratight HL series: tool no. 3</v>
          </cell>
          <cell r="O43" t="str">
            <v>black</v>
          </cell>
          <cell r="P43">
            <v>591000</v>
          </cell>
          <cell r="Q43">
            <v>134</v>
          </cell>
          <cell r="R43">
            <v>94</v>
          </cell>
          <cell r="S43">
            <v>49</v>
          </cell>
          <cell r="T43">
            <v>217</v>
          </cell>
          <cell r="U43">
            <v>5909</v>
          </cell>
        </row>
        <row r="44">
          <cell r="A44">
            <v>37</v>
          </cell>
          <cell r="B44" t="str">
            <v>M48 x 5</v>
          </cell>
          <cell r="C44" t="str">
            <v>ISO</v>
          </cell>
          <cell r="D44">
            <v>48</v>
          </cell>
          <cell r="E44">
            <v>44.752000000000002</v>
          </cell>
          <cell r="F44">
            <v>41.866</v>
          </cell>
          <cell r="G44">
            <v>60</v>
          </cell>
          <cell r="H44">
            <v>5.08</v>
          </cell>
          <cell r="I44">
            <v>5</v>
          </cell>
          <cell r="J44">
            <v>1376.6160211153192</v>
          </cell>
          <cell r="K44">
            <v>1473.1473655180448</v>
          </cell>
          <cell r="L44">
            <v>75</v>
          </cell>
          <cell r="M44">
            <v>0.10199999999999999</v>
          </cell>
          <cell r="N44" t="str">
            <v>Hydratight HL series: tool no. 4</v>
          </cell>
          <cell r="O44" t="str">
            <v>red</v>
          </cell>
          <cell r="P44">
            <v>788000</v>
          </cell>
          <cell r="Q44">
            <v>150</v>
          </cell>
          <cell r="R44">
            <v>102</v>
          </cell>
          <cell r="S44">
            <v>51</v>
          </cell>
          <cell r="T44">
            <v>222</v>
          </cell>
          <cell r="U44">
            <v>7881</v>
          </cell>
        </row>
        <row r="45">
          <cell r="A45">
            <v>38</v>
          </cell>
          <cell r="B45" t="str">
            <v>M52 x 5</v>
          </cell>
          <cell r="C45" t="str">
            <v>ISO</v>
          </cell>
          <cell r="D45">
            <v>52</v>
          </cell>
          <cell r="E45">
            <v>48.752000000000002</v>
          </cell>
          <cell r="F45">
            <v>45.866</v>
          </cell>
          <cell r="G45">
            <v>60</v>
          </cell>
          <cell r="H45">
            <v>5.08</v>
          </cell>
          <cell r="I45">
            <v>5</v>
          </cell>
          <cell r="J45">
            <v>1652.234227800059</v>
          </cell>
          <cell r="K45">
            <v>1757.8322086010446</v>
          </cell>
          <cell r="L45">
            <v>80</v>
          </cell>
          <cell r="M45">
            <v>0.127</v>
          </cell>
          <cell r="N45" t="str">
            <v>Hydratight HL series: tool no. 4</v>
          </cell>
          <cell r="O45" t="str">
            <v>red</v>
          </cell>
          <cell r="P45">
            <v>788000</v>
          </cell>
          <cell r="Q45">
            <v>150</v>
          </cell>
          <cell r="R45">
            <v>105</v>
          </cell>
          <cell r="S45">
            <v>54</v>
          </cell>
          <cell r="T45">
            <v>225</v>
          </cell>
          <cell r="U45">
            <v>7881</v>
          </cell>
        </row>
        <row r="46">
          <cell r="A46">
            <v>39</v>
          </cell>
          <cell r="B46" t="str">
            <v xml:space="preserve">M56 x 5.5 </v>
          </cell>
          <cell r="C46" t="str">
            <v>ISO</v>
          </cell>
          <cell r="D46">
            <v>56</v>
          </cell>
          <cell r="E46">
            <v>52.427999999999997</v>
          </cell>
          <cell r="F46">
            <v>49.252000000000002</v>
          </cell>
          <cell r="G46">
            <v>60</v>
          </cell>
          <cell r="H46">
            <v>4.6181818181818182</v>
          </cell>
          <cell r="I46">
            <v>5.5</v>
          </cell>
          <cell r="J46">
            <v>1905.1870592855053</v>
          </cell>
          <cell r="K46">
            <v>2030.0230311630999</v>
          </cell>
          <cell r="L46">
            <v>85</v>
          </cell>
          <cell r="M46">
            <v>0.127</v>
          </cell>
          <cell r="N46" t="str">
            <v>Hydratight HL series: tool no. 5</v>
          </cell>
          <cell r="O46" t="str">
            <v>grey</v>
          </cell>
          <cell r="P46">
            <v>989000</v>
          </cell>
          <cell r="Q46">
            <v>167</v>
          </cell>
          <cell r="R46">
            <v>119</v>
          </cell>
          <cell r="S46">
            <v>59</v>
          </cell>
          <cell r="T46">
            <v>231</v>
          </cell>
          <cell r="U46">
            <v>9893</v>
          </cell>
        </row>
        <row r="47">
          <cell r="A47">
            <v>40</v>
          </cell>
          <cell r="B47" t="str">
            <v>M60 x 5.5</v>
          </cell>
          <cell r="C47" t="str">
            <v>ISO</v>
          </cell>
          <cell r="D47">
            <v>60</v>
          </cell>
          <cell r="E47">
            <v>56.427999999999997</v>
          </cell>
          <cell r="F47">
            <v>53.252000000000002</v>
          </cell>
          <cell r="G47">
            <v>60</v>
          </cell>
          <cell r="H47">
            <v>4.6181818181818182</v>
          </cell>
          <cell r="I47">
            <v>5.5</v>
          </cell>
          <cell r="J47">
            <v>2227.2128726490732</v>
          </cell>
          <cell r="K47">
            <v>2362.0265427944692</v>
          </cell>
          <cell r="L47">
            <v>90</v>
          </cell>
          <cell r="M47">
            <v>0.127</v>
          </cell>
          <cell r="N47" t="str">
            <v>Hydratight HL series: tool no. 6</v>
          </cell>
          <cell r="O47" t="str">
            <v>white</v>
          </cell>
          <cell r="P47">
            <v>1274000</v>
          </cell>
          <cell r="Q47">
            <v>190</v>
          </cell>
          <cell r="R47">
            <v>131</v>
          </cell>
          <cell r="S47">
            <v>65</v>
          </cell>
          <cell r="T47">
            <v>248</v>
          </cell>
          <cell r="U47">
            <v>12743</v>
          </cell>
        </row>
        <row r="48">
          <cell r="A48">
            <v>41</v>
          </cell>
          <cell r="B48" t="str">
            <v xml:space="preserve">M64 x 6 </v>
          </cell>
          <cell r="C48" t="str">
            <v>ISO</v>
          </cell>
          <cell r="D48">
            <v>64</v>
          </cell>
          <cell r="E48">
            <v>60.103000000000002</v>
          </cell>
          <cell r="F48">
            <v>56.639000000000003</v>
          </cell>
          <cell r="G48">
            <v>60</v>
          </cell>
          <cell r="H48">
            <v>4.2333333333333334</v>
          </cell>
          <cell r="I48">
            <v>6</v>
          </cell>
          <cell r="J48">
            <v>2519.5387107359034</v>
          </cell>
          <cell r="K48">
            <v>2675.9879200175969</v>
          </cell>
          <cell r="L48">
            <v>95</v>
          </cell>
          <cell r="M48">
            <v>0.127</v>
          </cell>
          <cell r="N48" t="str">
            <v>Hydratight HL series: tool no. 6</v>
          </cell>
          <cell r="O48" t="str">
            <v>white</v>
          </cell>
          <cell r="P48">
            <v>1274000</v>
          </cell>
          <cell r="Q48">
            <v>190</v>
          </cell>
          <cell r="R48">
            <v>131</v>
          </cell>
          <cell r="S48">
            <v>65</v>
          </cell>
          <cell r="T48">
            <v>248</v>
          </cell>
          <cell r="U48">
            <v>12743</v>
          </cell>
        </row>
        <row r="49">
          <cell r="A49">
            <v>42</v>
          </cell>
          <cell r="B49" t="str">
            <v>M68 x 6</v>
          </cell>
          <cell r="C49" t="str">
            <v>ISO</v>
          </cell>
          <cell r="D49">
            <v>68</v>
          </cell>
          <cell r="E49">
            <v>64.102999999999994</v>
          </cell>
          <cell r="F49">
            <v>60.639000000000003</v>
          </cell>
          <cell r="G49">
            <v>60</v>
          </cell>
          <cell r="H49">
            <v>4.2333333333333334</v>
          </cell>
          <cell r="I49">
            <v>6</v>
          </cell>
          <cell r="J49">
            <v>2887.9784139636067</v>
          </cell>
          <cell r="K49">
            <v>3055.310100197335</v>
          </cell>
          <cell r="L49">
            <v>100</v>
          </cell>
          <cell r="M49">
            <v>0.127</v>
          </cell>
          <cell r="N49" t="str">
            <v>Hydratight HL series: tool no. 7</v>
          </cell>
          <cell r="O49" t="str">
            <v>brown</v>
          </cell>
          <cell r="P49">
            <v>1594000</v>
          </cell>
          <cell r="Q49">
            <v>208</v>
          </cell>
          <cell r="R49">
            <v>146</v>
          </cell>
          <cell r="S49">
            <v>71</v>
          </cell>
          <cell r="T49">
            <v>258</v>
          </cell>
          <cell r="U49">
            <v>15944</v>
          </cell>
        </row>
        <row r="50">
          <cell r="A50">
            <v>43</v>
          </cell>
          <cell r="B50" t="str">
            <v>Metric input</v>
          </cell>
          <cell r="C50" t="str">
            <v>?</v>
          </cell>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row>
      </sheetData>
      <sheetData sheetId="8"/>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sabben01" refreshedDate="39217.423072685182" createdVersion="1" recordCount="3" upgradeOnRefresh="1">
  <cacheSource type="worksheet">
    <worksheetSource ref="I21:I24" sheet="DIN weld neck"/>
  </cacheSource>
  <cacheFields count="1">
    <cacheField name="metric" numFmtId="0">
      <sharedItems count="3">
        <s v="UNC"/>
        <s v="TEMA metric"/>
        <s v="TEMA   "/>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
  <r>
    <x v="0"/>
  </r>
  <r>
    <x v="1"/>
  </r>
  <r>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dataOnRows="1" applyNumberFormats="0" applyBorderFormats="0" applyFontFormats="0" applyPatternFormats="0" applyAlignmentFormats="0" applyWidthHeightFormats="1" dataCaption="Data" asteriskTotals="1" showItems="0" showMultipleLabel="0" showMemberPropertyTips="0" useAutoFormatting="1" pageWrap="1" itemPrintTitles="1" indent="0" compact="0" compactData="0" gridDropZones="1">
  <location ref="C21:I34" firstHeaderRow="1" firstDataRow="1" firstDataCol="1"/>
  <pivotFields count="1">
    <pivotField compact="0" outline="0" subtotalTop="0" showAll="0" includeNewItemsInFilter="1"/>
  </pivotFields>
  <formats count="3">
    <format dxfId="12">
      <pivotArea type="origin" dataOnly="0" labelOnly="1" outline="0" fieldPosition="0"/>
    </format>
    <format dxfId="11">
      <pivotArea type="origin" dataOnly="0" labelOnly="1" outline="0" fieldPosition="0"/>
    </format>
    <format dxfId="10">
      <pivotArea type="origin" dataOnly="0" labelOnly="1" outline="0" fieldPosition="0"/>
    </format>
  </formats>
  <pivotTableStyleInfo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3.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4.xml"/><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8.xml"/><Relationship Id="rId1" Type="http://schemas.openxmlformats.org/officeDocument/2006/relationships/printerSettings" Target="../printerSettings/printerSettings11.bin"/><Relationship Id="rId6" Type="http://schemas.openxmlformats.org/officeDocument/2006/relationships/comments" Target="../comments8.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S148"/>
  <sheetViews>
    <sheetView topLeftCell="A124" zoomScaleNormal="100" workbookViewId="0">
      <selection activeCell="G33" sqref="G33"/>
    </sheetView>
  </sheetViews>
  <sheetFormatPr defaultRowHeight="12.75"/>
  <cols>
    <col min="2" max="2" width="29.140625" customWidth="1"/>
    <col min="4" max="4" width="13" customWidth="1"/>
    <col min="5" max="5" width="12.85546875" customWidth="1"/>
    <col min="8" max="8" width="9.85546875" customWidth="1"/>
    <col min="9" max="9" width="9.42578125" customWidth="1"/>
    <col min="11" max="11" width="10.28515625" customWidth="1"/>
    <col min="16" max="16" width="10.28515625" customWidth="1"/>
  </cols>
  <sheetData>
    <row r="1" spans="1:17" ht="18">
      <c r="B1" s="10" t="s">
        <v>233</v>
      </c>
    </row>
    <row r="2" spans="1:17">
      <c r="B2" s="30" t="s">
        <v>525</v>
      </c>
    </row>
    <row r="3" spans="1:17">
      <c r="B3" s="30" t="s">
        <v>340</v>
      </c>
    </row>
    <row r="4" spans="1:17">
      <c r="B4" s="13" t="s">
        <v>132</v>
      </c>
    </row>
    <row r="5" spans="1:17">
      <c r="B5" t="s">
        <v>86</v>
      </c>
      <c r="C5" t="s">
        <v>98</v>
      </c>
      <c r="D5" s="11">
        <v>0.35</v>
      </c>
      <c r="E5" t="s">
        <v>87</v>
      </c>
    </row>
    <row r="6" spans="1:17">
      <c r="B6" t="s">
        <v>152</v>
      </c>
      <c r="C6" t="s">
        <v>153</v>
      </c>
      <c r="D6" s="11">
        <v>340</v>
      </c>
      <c r="E6" t="s">
        <v>154</v>
      </c>
    </row>
    <row r="7" spans="1:17">
      <c r="B7" t="s">
        <v>99</v>
      </c>
      <c r="C7" t="s">
        <v>100</v>
      </c>
      <c r="D7" s="11">
        <v>0.64</v>
      </c>
      <c r="E7" t="s">
        <v>87</v>
      </c>
    </row>
    <row r="8" spans="1:17">
      <c r="B8" t="s">
        <v>524</v>
      </c>
      <c r="C8" t="s">
        <v>523</v>
      </c>
      <c r="D8" s="11">
        <v>6</v>
      </c>
      <c r="E8" t="s">
        <v>104</v>
      </c>
    </row>
    <row r="9" spans="1:17" ht="15.75" customHeight="1">
      <c r="B9" t="s">
        <v>224</v>
      </c>
      <c r="D9" s="11"/>
      <c r="E9" s="33">
        <v>1</v>
      </c>
      <c r="O9" t="s">
        <v>298</v>
      </c>
      <c r="Q9">
        <v>1</v>
      </c>
    </row>
    <row r="10" spans="1:17">
      <c r="A10" t="s">
        <v>108</v>
      </c>
      <c r="B10" t="s">
        <v>156</v>
      </c>
      <c r="D10" s="11" t="s">
        <v>521</v>
      </c>
      <c r="O10" t="s">
        <v>299</v>
      </c>
      <c r="Q10">
        <v>2</v>
      </c>
    </row>
    <row r="11" spans="1:17" ht="12.75" customHeight="1">
      <c r="A11" t="s">
        <v>108</v>
      </c>
      <c r="B11" t="s">
        <v>249</v>
      </c>
      <c r="C11" s="38" t="s">
        <v>297</v>
      </c>
      <c r="D11" s="11">
        <v>0.3</v>
      </c>
      <c r="E11" s="12" t="s">
        <v>116</v>
      </c>
      <c r="O11" t="s">
        <v>300</v>
      </c>
      <c r="Q11">
        <v>3</v>
      </c>
    </row>
    <row r="12" spans="1:17">
      <c r="A12" t="s">
        <v>108</v>
      </c>
      <c r="B12" t="s">
        <v>130</v>
      </c>
      <c r="C12" t="s">
        <v>129</v>
      </c>
      <c r="D12" s="11">
        <v>250</v>
      </c>
      <c r="E12" t="s">
        <v>87</v>
      </c>
    </row>
    <row r="13" spans="1:17">
      <c r="A13" t="s">
        <v>108</v>
      </c>
      <c r="B13" t="s">
        <v>160</v>
      </c>
      <c r="C13" t="s">
        <v>150</v>
      </c>
      <c r="D13" s="11">
        <v>181.4</v>
      </c>
      <c r="E13" t="s">
        <v>87</v>
      </c>
    </row>
    <row r="14" spans="1:17">
      <c r="A14" t="s">
        <v>108</v>
      </c>
      <c r="B14" t="s">
        <v>161</v>
      </c>
      <c r="C14" t="s">
        <v>149</v>
      </c>
      <c r="D14" s="11">
        <v>485</v>
      </c>
      <c r="E14" t="s">
        <v>87</v>
      </c>
    </row>
    <row r="15" spans="1:17">
      <c r="A15" t="s">
        <v>108</v>
      </c>
      <c r="B15" t="s">
        <v>106</v>
      </c>
      <c r="C15" t="s">
        <v>49</v>
      </c>
      <c r="D15" s="11">
        <v>1710</v>
      </c>
      <c r="E15" t="s">
        <v>104</v>
      </c>
    </row>
    <row r="16" spans="1:17">
      <c r="A16" t="s">
        <v>108</v>
      </c>
      <c r="B16" t="s">
        <v>195</v>
      </c>
      <c r="C16" t="s">
        <v>194</v>
      </c>
      <c r="D16" s="11">
        <v>94</v>
      </c>
      <c r="E16" t="s">
        <v>104</v>
      </c>
    </row>
    <row r="17" spans="1:5">
      <c r="A17" t="s">
        <v>108</v>
      </c>
      <c r="B17" t="s">
        <v>103</v>
      </c>
      <c r="C17" t="s">
        <v>50</v>
      </c>
      <c r="D17" s="11">
        <v>1550</v>
      </c>
      <c r="E17" t="s">
        <v>104</v>
      </c>
    </row>
    <row r="18" spans="1:5">
      <c r="A18" t="s">
        <v>108</v>
      </c>
      <c r="B18" t="s">
        <v>155</v>
      </c>
      <c r="C18" t="s">
        <v>51</v>
      </c>
      <c r="D18" s="11">
        <v>1660</v>
      </c>
      <c r="E18" t="s">
        <v>104</v>
      </c>
    </row>
    <row r="19" spans="1:5">
      <c r="A19" t="s">
        <v>108</v>
      </c>
      <c r="B19" t="s">
        <v>219</v>
      </c>
      <c r="C19" t="s">
        <v>218</v>
      </c>
      <c r="D19" s="11">
        <v>40</v>
      </c>
    </row>
    <row r="20" spans="1:5">
      <c r="A20" t="s">
        <v>108</v>
      </c>
      <c r="B20" t="s">
        <v>220</v>
      </c>
      <c r="C20" t="s">
        <v>192</v>
      </c>
      <c r="D20" s="11">
        <v>16</v>
      </c>
      <c r="E20" t="s">
        <v>104</v>
      </c>
    </row>
    <row r="21" spans="1:5">
      <c r="A21" t="s">
        <v>108</v>
      </c>
      <c r="B21" t="s">
        <v>221</v>
      </c>
      <c r="C21" t="s">
        <v>193</v>
      </c>
      <c r="D21" s="11">
        <v>25</v>
      </c>
      <c r="E21" t="s">
        <v>104</v>
      </c>
    </row>
    <row r="22" spans="1:5">
      <c r="A22" t="s">
        <v>107</v>
      </c>
      <c r="B22" t="s">
        <v>151</v>
      </c>
      <c r="C22" t="s">
        <v>83</v>
      </c>
      <c r="D22" s="11">
        <v>1600</v>
      </c>
      <c r="E22" t="s">
        <v>104</v>
      </c>
    </row>
    <row r="23" spans="1:5">
      <c r="A23" t="s">
        <v>107</v>
      </c>
      <c r="B23" t="s">
        <v>109</v>
      </c>
      <c r="C23" t="s">
        <v>94</v>
      </c>
      <c r="D23" s="11">
        <v>20</v>
      </c>
      <c r="E23" t="s">
        <v>104</v>
      </c>
    </row>
    <row r="24" spans="1:5">
      <c r="A24" t="s">
        <v>107</v>
      </c>
      <c r="B24" t="s">
        <v>118</v>
      </c>
      <c r="C24" t="s">
        <v>84</v>
      </c>
      <c r="D24" s="14">
        <f>VLOOKUP(E26,'gasket factors'!$B$8:$E$64,3)</f>
        <v>2</v>
      </c>
      <c r="E24" s="12" t="s">
        <v>116</v>
      </c>
    </row>
    <row r="25" spans="1:5">
      <c r="A25" t="s">
        <v>107</v>
      </c>
      <c r="B25" t="s">
        <v>118</v>
      </c>
      <c r="C25" t="s">
        <v>85</v>
      </c>
      <c r="D25" s="14">
        <f>VLOOKUP(E26,'gasket factors'!$B$8:$E$64,4)</f>
        <v>17.241379310344829</v>
      </c>
      <c r="E25" t="s">
        <v>87</v>
      </c>
    </row>
    <row r="26" spans="1:5">
      <c r="B26" t="s">
        <v>62</v>
      </c>
      <c r="D26" s="11"/>
      <c r="E26" s="33">
        <v>51</v>
      </c>
    </row>
    <row r="27" spans="1:5">
      <c r="D27" s="11"/>
    </row>
    <row r="28" spans="1:5">
      <c r="A28" t="s">
        <v>126</v>
      </c>
      <c r="B28" t="s">
        <v>71</v>
      </c>
      <c r="C28" t="s">
        <v>125</v>
      </c>
      <c r="D28" s="11">
        <v>40</v>
      </c>
      <c r="E28" s="12" t="s">
        <v>116</v>
      </c>
    </row>
    <row r="29" spans="1:5" ht="18.75" customHeight="1">
      <c r="B29" t="s">
        <v>907</v>
      </c>
      <c r="D29" s="11"/>
      <c r="E29" s="367">
        <v>3</v>
      </c>
    </row>
    <row r="30" spans="1:5" ht="15" customHeight="1">
      <c r="A30" t="s">
        <v>126</v>
      </c>
      <c r="B30" t="s">
        <v>61</v>
      </c>
      <c r="D30" s="11" t="s">
        <v>522</v>
      </c>
    </row>
    <row r="31" spans="1:5">
      <c r="A31" t="s">
        <v>126</v>
      </c>
      <c r="B31" t="s">
        <v>130</v>
      </c>
      <c r="C31" t="s">
        <v>129</v>
      </c>
      <c r="D31" s="11">
        <v>725</v>
      </c>
      <c r="E31" t="s">
        <v>87</v>
      </c>
    </row>
    <row r="32" spans="1:5">
      <c r="B32" t="s">
        <v>160</v>
      </c>
      <c r="C32" t="s">
        <v>150</v>
      </c>
      <c r="D32" s="11">
        <v>400.6</v>
      </c>
      <c r="E32" t="s">
        <v>87</v>
      </c>
    </row>
    <row r="33" spans="1:7">
      <c r="B33" t="s">
        <v>161</v>
      </c>
      <c r="C33" t="s">
        <v>149</v>
      </c>
      <c r="D33" s="11">
        <v>860</v>
      </c>
      <c r="E33" t="s">
        <v>87</v>
      </c>
    </row>
    <row r="34" spans="1:7" ht="18" customHeight="1">
      <c r="B34" t="s">
        <v>908</v>
      </c>
      <c r="C34" t="s">
        <v>433</v>
      </c>
      <c r="D34" s="368">
        <f>VLOOKUP($E$29,boltdimension,4)</f>
        <v>19.05</v>
      </c>
      <c r="E34" t="s">
        <v>104</v>
      </c>
    </row>
    <row r="35" spans="1:7" s="5" customFormat="1" ht="13.5" customHeight="1">
      <c r="B35" t="s">
        <v>178</v>
      </c>
      <c r="C35" t="s">
        <v>179</v>
      </c>
      <c r="D35" s="368">
        <f>VLOOKUP($E$29,boltdimension,11)</f>
        <v>215.48344</v>
      </c>
      <c r="E35" t="s">
        <v>92</v>
      </c>
    </row>
    <row r="36" spans="1:7" s="18" customFormat="1" ht="13.5" customHeight="1">
      <c r="D36" s="372"/>
    </row>
    <row r="37" spans="1:7" s="369" customFormat="1">
      <c r="B37" s="370" t="s">
        <v>131</v>
      </c>
      <c r="D37" s="371"/>
    </row>
    <row r="39" spans="1:7">
      <c r="A39" t="s">
        <v>108</v>
      </c>
      <c r="B39" t="s">
        <v>764</v>
      </c>
      <c r="C39" t="s">
        <v>159</v>
      </c>
      <c r="D39" s="28">
        <f>MIN($D$13/1.5,$D$14/2.4)</f>
        <v>120.93333333333334</v>
      </c>
      <c r="E39" t="s">
        <v>87</v>
      </c>
      <c r="F39" s="28"/>
      <c r="G39" s="28">
        <f>0.9*$D$13</f>
        <v>163.26000000000002</v>
      </c>
    </row>
    <row r="40" spans="1:7">
      <c r="A40" t="s">
        <v>108</v>
      </c>
      <c r="B40" t="s">
        <v>157</v>
      </c>
      <c r="C40" t="s">
        <v>162</v>
      </c>
      <c r="D40" s="28">
        <f>D12/1.05</f>
        <v>238.09523809523807</v>
      </c>
      <c r="E40" t="s">
        <v>87</v>
      </c>
    </row>
    <row r="41" spans="1:7">
      <c r="A41" t="s">
        <v>158</v>
      </c>
      <c r="B41" t="s">
        <v>157</v>
      </c>
      <c r="C41" t="s">
        <v>148</v>
      </c>
      <c r="D41" s="28">
        <f>MIN($D$32/3,$D$33/4)</f>
        <v>133.53333333333333</v>
      </c>
      <c r="E41" t="s">
        <v>87</v>
      </c>
      <c r="F41" s="28"/>
      <c r="G41" s="28">
        <f>0.9*$D$32</f>
        <v>360.54</v>
      </c>
    </row>
    <row r="42" spans="1:7">
      <c r="A42" t="s">
        <v>158</v>
      </c>
      <c r="B42" t="s">
        <v>398</v>
      </c>
      <c r="C42" t="s">
        <v>459</v>
      </c>
      <c r="D42" s="28">
        <f>MIN(D31/3,D33/4)</f>
        <v>215</v>
      </c>
      <c r="E42" t="s">
        <v>87</v>
      </c>
    </row>
    <row r="43" spans="1:7">
      <c r="C43" t="s">
        <v>336</v>
      </c>
      <c r="D43" s="28">
        <f>MIN(D31/3,D33/4)*1.5</f>
        <v>322.5</v>
      </c>
      <c r="E43" t="s">
        <v>87</v>
      </c>
    </row>
    <row r="45" spans="1:7">
      <c r="B45" t="s">
        <v>164</v>
      </c>
      <c r="C45" t="s">
        <v>163</v>
      </c>
      <c r="D45" s="14">
        <f>IF(OR(E26=39,E26=40,E26=41),D23/8,D23/2)</f>
        <v>10</v>
      </c>
      <c r="E45" t="s">
        <v>104</v>
      </c>
      <c r="F45" t="s">
        <v>165</v>
      </c>
    </row>
    <row r="46" spans="1:7">
      <c r="B46" t="s">
        <v>191</v>
      </c>
      <c r="C46" t="s">
        <v>166</v>
      </c>
      <c r="D46" s="14">
        <f>IF(D45&lt;=6.3,D45,2.52*SQRT(D45))</f>
        <v>7.9689397036243168</v>
      </c>
      <c r="E46" t="s">
        <v>104</v>
      </c>
      <c r="F46" s="12" t="s">
        <v>226</v>
      </c>
    </row>
    <row r="47" spans="1:7">
      <c r="B47" t="s">
        <v>186</v>
      </c>
      <c r="C47" t="s">
        <v>83</v>
      </c>
      <c r="D47" s="14">
        <f>IF(D45&lt;=6.3,D22,D22+D23-2*D46)</f>
        <v>1604.0621205927514</v>
      </c>
      <c r="E47" t="s">
        <v>104</v>
      </c>
    </row>
    <row r="48" spans="1:7">
      <c r="B48" t="s">
        <v>526</v>
      </c>
      <c r="C48" t="s">
        <v>50</v>
      </c>
      <c r="D48" s="14">
        <f>D17+2*D8</f>
        <v>1562</v>
      </c>
      <c r="E48" t="s">
        <v>104</v>
      </c>
    </row>
    <row r="49" spans="1:7">
      <c r="B49" t="s">
        <v>527</v>
      </c>
      <c r="C49" t="s">
        <v>192</v>
      </c>
      <c r="D49" s="14">
        <f>D20-D8</f>
        <v>10</v>
      </c>
      <c r="E49" t="s">
        <v>104</v>
      </c>
    </row>
    <row r="50" spans="1:7">
      <c r="B50" t="s">
        <v>528</v>
      </c>
      <c r="C50" t="s">
        <v>193</v>
      </c>
      <c r="D50" s="14">
        <f>D21-D8</f>
        <v>19</v>
      </c>
      <c r="E50" t="s">
        <v>104</v>
      </c>
    </row>
    <row r="51" spans="1:7">
      <c r="A51" s="93" t="s">
        <v>769</v>
      </c>
      <c r="B51" s="94"/>
      <c r="C51" s="376" t="s">
        <v>649</v>
      </c>
      <c r="D51" s="161">
        <f>$D$18*SIN(PI()/$D$28)</f>
        <v>130.2420989082226</v>
      </c>
      <c r="E51" t="s">
        <v>104</v>
      </c>
      <c r="F51" s="162"/>
      <c r="G51" s="94" t="s">
        <v>104</v>
      </c>
    </row>
    <row r="52" spans="1:7">
      <c r="D52" s="14"/>
    </row>
    <row r="53" spans="1:7">
      <c r="D53" s="41" t="s">
        <v>316</v>
      </c>
      <c r="E53" s="42" t="s">
        <v>335</v>
      </c>
    </row>
    <row r="54" spans="1:7">
      <c r="B54" t="s">
        <v>187</v>
      </c>
      <c r="C54" t="s">
        <v>88</v>
      </c>
      <c r="D54" s="9">
        <f>PI()/4*($D$47^2*D5)</f>
        <v>707294.5182043477</v>
      </c>
      <c r="E54" s="9">
        <f>PI()/4*($D$47^2*D7)</f>
        <v>1293338.5475736645</v>
      </c>
      <c r="F54" t="s">
        <v>91</v>
      </c>
      <c r="G54" t="s">
        <v>167</v>
      </c>
    </row>
    <row r="55" spans="1:7">
      <c r="B55" t="s">
        <v>188</v>
      </c>
      <c r="C55" t="s">
        <v>168</v>
      </c>
      <c r="D55" s="9">
        <f>2*PI()*$D$47*$D$46*$D$24*D5</f>
        <v>56221.13803115442</v>
      </c>
      <c r="E55" s="9">
        <f>2*PI()*$D$47*$D$46*$D$24*D7</f>
        <v>102804.36668553953</v>
      </c>
      <c r="F55" t="s">
        <v>91</v>
      </c>
      <c r="G55" t="s">
        <v>169</v>
      </c>
    </row>
    <row r="56" spans="1:7">
      <c r="B56" t="s">
        <v>227</v>
      </c>
      <c r="C56" t="s">
        <v>170</v>
      </c>
      <c r="D56" s="9">
        <f>PI()*$D$46*$D$47*$D$25</f>
        <v>692378.54718170478</v>
      </c>
      <c r="E56" s="9">
        <f>PI()*$D$46*$D$47*$D$25</f>
        <v>692378.54718170478</v>
      </c>
      <c r="F56" t="s">
        <v>91</v>
      </c>
      <c r="G56" t="s">
        <v>172</v>
      </c>
    </row>
    <row r="57" spans="1:7">
      <c r="B57" t="s">
        <v>228</v>
      </c>
      <c r="C57" t="s">
        <v>171</v>
      </c>
      <c r="D57" s="9">
        <f>D54+D55</f>
        <v>763515.6562355021</v>
      </c>
      <c r="E57" s="9">
        <f>E54+E55</f>
        <v>1396142.9142592039</v>
      </c>
      <c r="F57" t="s">
        <v>91</v>
      </c>
      <c r="G57" t="s">
        <v>173</v>
      </c>
    </row>
    <row r="58" spans="1:7">
      <c r="B58" t="s">
        <v>174</v>
      </c>
      <c r="C58" t="s">
        <v>175</v>
      </c>
      <c r="D58" s="9">
        <f>MAX(D56/D42,D57/D41)</f>
        <v>5717.790735662772</v>
      </c>
      <c r="E58" s="9">
        <f>MAX(E56/D43,E57/D43)</f>
        <v>4329.1253155324157</v>
      </c>
      <c r="F58" t="s">
        <v>92</v>
      </c>
      <c r="G58" t="s">
        <v>180</v>
      </c>
    </row>
    <row r="59" spans="1:7">
      <c r="B59" t="s">
        <v>176</v>
      </c>
      <c r="C59" t="s">
        <v>177</v>
      </c>
      <c r="D59" s="9">
        <f>$D$28*$D$35</f>
        <v>8619.3376000000007</v>
      </c>
      <c r="E59" s="9">
        <f>D59</f>
        <v>8619.3376000000007</v>
      </c>
      <c r="F59" s="9" t="s">
        <v>92</v>
      </c>
      <c r="G59" s="15" t="str">
        <f>IF(D59&gt;=D58,"OK","insufficient bolt area")</f>
        <v>OK</v>
      </c>
    </row>
    <row r="60" spans="1:7">
      <c r="B60" t="s">
        <v>229</v>
      </c>
      <c r="C60" t="s">
        <v>230</v>
      </c>
      <c r="D60" s="43">
        <f>D58/D59</f>
        <v>0.66336776687604992</v>
      </c>
      <c r="E60" s="43">
        <f>E58/E59</f>
        <v>0.50225730983462291</v>
      </c>
      <c r="F60" s="9"/>
      <c r="G60" s="9"/>
    </row>
    <row r="61" spans="1:7">
      <c r="B61" t="s">
        <v>189</v>
      </c>
      <c r="C61" t="s">
        <v>89</v>
      </c>
      <c r="D61" s="9">
        <f>PI()/4*$D$48^2*D5</f>
        <v>670687.14880169928</v>
      </c>
      <c r="E61" s="9">
        <f>PI()/4*$D$17^2*D7</f>
        <v>1207628.2160399165</v>
      </c>
      <c r="F61" s="9" t="s">
        <v>91</v>
      </c>
      <c r="G61" s="9" t="s">
        <v>181</v>
      </c>
    </row>
    <row r="62" spans="1:7">
      <c r="B62" t="s">
        <v>190</v>
      </c>
      <c r="C62" t="s">
        <v>90</v>
      </c>
      <c r="D62" s="9">
        <f>D54-D61</f>
        <v>36607.369402648415</v>
      </c>
      <c r="E62" s="9">
        <f>E54-E61</f>
        <v>85710.331533747958</v>
      </c>
      <c r="F62" s="9" t="s">
        <v>91</v>
      </c>
      <c r="G62" s="9" t="s">
        <v>182</v>
      </c>
    </row>
    <row r="63" spans="1:7">
      <c r="B63" t="s">
        <v>209</v>
      </c>
      <c r="C63" t="s">
        <v>183</v>
      </c>
      <c r="D63" s="22">
        <f>(D18-D48-D50)/2</f>
        <v>39.5</v>
      </c>
      <c r="E63" s="22">
        <f>D63</f>
        <v>39.5</v>
      </c>
      <c r="F63" s="9" t="s">
        <v>104</v>
      </c>
      <c r="G63" s="9" t="s">
        <v>196</v>
      </c>
    </row>
    <row r="64" spans="1:7">
      <c r="B64" t="s">
        <v>208</v>
      </c>
      <c r="C64" t="s">
        <v>184</v>
      </c>
      <c r="D64" s="24">
        <f>(D18-D47)/2</f>
        <v>27.968939703624301</v>
      </c>
      <c r="E64" s="22">
        <f>D64</f>
        <v>27.968939703624301</v>
      </c>
      <c r="F64" s="23" t="s">
        <v>104</v>
      </c>
      <c r="G64" s="23" t="s">
        <v>197</v>
      </c>
    </row>
    <row r="65" spans="2:18">
      <c r="B65" t="s">
        <v>210</v>
      </c>
      <c r="C65" t="s">
        <v>185</v>
      </c>
      <c r="D65" s="22">
        <f>(2*D18-D48-D47)/4</f>
        <v>38.48446985181215</v>
      </c>
      <c r="E65" s="22">
        <f>D65</f>
        <v>38.48446985181215</v>
      </c>
      <c r="F65" s="16" t="s">
        <v>104</v>
      </c>
      <c r="G65" s="16" t="s">
        <v>198</v>
      </c>
    </row>
    <row r="66" spans="2:18">
      <c r="B66" t="s">
        <v>207</v>
      </c>
      <c r="C66" t="s">
        <v>199</v>
      </c>
      <c r="D66" s="9">
        <f>0.5*($D$58+$D$59)*D42</f>
        <v>1541241.2960837479</v>
      </c>
      <c r="E66" s="9">
        <f>0.5*($E$58+$E$59)*D43</f>
        <v>2087939.6451296022</v>
      </c>
      <c r="F66" s="9" t="s">
        <v>91</v>
      </c>
      <c r="G66" s="9" t="s">
        <v>231</v>
      </c>
      <c r="R66">
        <v>-2.5223170570686024</v>
      </c>
    </row>
    <row r="67" spans="2:18">
      <c r="B67" t="s">
        <v>205</v>
      </c>
      <c r="C67" t="s">
        <v>201</v>
      </c>
      <c r="D67" s="9">
        <f>D66*D64</f>
        <v>43106884.878902115</v>
      </c>
      <c r="E67" s="9">
        <f>E66*E64</f>
        <v>58397458.039436564</v>
      </c>
      <c r="F67" s="9" t="s">
        <v>202</v>
      </c>
      <c r="G67" t="s">
        <v>204</v>
      </c>
      <c r="R67">
        <v>-0.10680541108699276</v>
      </c>
    </row>
    <row r="68" spans="2:18">
      <c r="B68" t="s">
        <v>206</v>
      </c>
      <c r="C68" t="s">
        <v>200</v>
      </c>
      <c r="D68" s="9">
        <f>D61*D63+D62*D65+D55*D64</f>
        <v>29473403.201459993</v>
      </c>
      <c r="E68" s="9">
        <f>E61*E63+E62*E65+E55*E64</f>
        <v>53875160.336573184</v>
      </c>
      <c r="F68" s="9" t="s">
        <v>202</v>
      </c>
      <c r="G68" t="s">
        <v>203</v>
      </c>
      <c r="R68">
        <v>8.9565517170521941E-2</v>
      </c>
    </row>
    <row r="69" spans="2:18">
      <c r="D69" s="9"/>
      <c r="J69" t="s">
        <v>250</v>
      </c>
      <c r="R69">
        <v>3.2458023417572845</v>
      </c>
    </row>
    <row r="70" spans="2:18">
      <c r="B70" t="s">
        <v>118</v>
      </c>
      <c r="C70" t="s">
        <v>211</v>
      </c>
      <c r="D70">
        <f>MAX(SQRT($D$51/(2*$D$34+6*$D$16/($D$24+0.5))),1)</f>
        <v>1</v>
      </c>
      <c r="E70" s="14"/>
      <c r="G70" t="s">
        <v>232</v>
      </c>
      <c r="J70" t="s">
        <v>49</v>
      </c>
      <c r="K70" s="31">
        <f>D77-1</f>
        <v>0.89999999999999991</v>
      </c>
      <c r="R70">
        <v>-1.6767480086376949</v>
      </c>
    </row>
    <row r="71" spans="2:18">
      <c r="B71" t="s">
        <v>118</v>
      </c>
      <c r="C71" t="s">
        <v>212</v>
      </c>
      <c r="D71" s="14">
        <f>D15/D48</f>
        <v>1.0947503201024327</v>
      </c>
      <c r="E71" s="14"/>
      <c r="G71" t="s">
        <v>234</v>
      </c>
      <c r="J71" t="s">
        <v>51</v>
      </c>
      <c r="K71" s="31">
        <f>48*(1-D11^2)*D78^4</f>
        <v>0.45831126908113778</v>
      </c>
      <c r="R71">
        <v>-8.3057854955060932</v>
      </c>
    </row>
    <row r="72" spans="2:18">
      <c r="B72" t="s">
        <v>118</v>
      </c>
      <c r="C72" t="s">
        <v>217</v>
      </c>
      <c r="D72" s="14">
        <f>SQRT(D48*D49)</f>
        <v>124.97999839974395</v>
      </c>
      <c r="E72" s="14"/>
      <c r="G72" t="s">
        <v>235</v>
      </c>
      <c r="R72">
        <v>-2.6040962139816146E-2</v>
      </c>
    </row>
    <row r="73" spans="2:18">
      <c r="B73" s="14" t="s">
        <v>118</v>
      </c>
      <c r="C73" s="14" t="s">
        <v>213</v>
      </c>
      <c r="D73" s="26">
        <f>(D71^2*(1+8.55246*LOG(D71))-1)/((1.0472+1.9448*D71^2)*(D71-1))</f>
        <v>1.8791567837969569</v>
      </c>
      <c r="E73" s="26"/>
      <c r="F73" s="14"/>
      <c r="G73" s="14" t="s">
        <v>236</v>
      </c>
      <c r="J73" t="s">
        <v>239</v>
      </c>
      <c r="K73" s="31">
        <f>1/3+K70/12</f>
        <v>0.40833333333333333</v>
      </c>
      <c r="L73" s="32">
        <v>0.33333333333333331</v>
      </c>
      <c r="M73" t="s">
        <v>261</v>
      </c>
      <c r="N73" s="31">
        <f>(K73*K82*K84+K77*K80*K75+K75*K86*K74-(K75^2*K82+K86*K80*K73+K84*K77*K74))/K88</f>
        <v>-0.108323095662668</v>
      </c>
      <c r="O73" s="32">
        <v>-1.4191545233780219E-2</v>
      </c>
      <c r="P73" t="s">
        <v>278</v>
      </c>
      <c r="Q73" s="31">
        <f>K89*N88+K90+K91*N89</f>
        <v>-2.5223170570686406</v>
      </c>
      <c r="R73" s="33">
        <v>1.6438971976577975E-2</v>
      </c>
    </row>
    <row r="74" spans="2:18">
      <c r="B74" s="14" t="s">
        <v>118</v>
      </c>
      <c r="C74" s="14" t="s">
        <v>214</v>
      </c>
      <c r="D74" s="26">
        <f>(D71^2*(1+8.55246*LOG(D71))-1)/((1.36136*(D71^2-1)*(D71-1)))</f>
        <v>23.49290875427279</v>
      </c>
      <c r="E74" s="26"/>
      <c r="F74" s="14"/>
      <c r="G74" s="14" t="s">
        <v>237</v>
      </c>
      <c r="J74" t="s">
        <v>240</v>
      </c>
      <c r="K74" s="31">
        <f>5/42+17*K70/336</f>
        <v>0.16458333333333333</v>
      </c>
      <c r="L74" s="32">
        <v>0.11904761904761904</v>
      </c>
      <c r="M74" t="s">
        <v>262</v>
      </c>
      <c r="N74" s="31">
        <f>(K73*K83*K84+K78*K80*K75+K75*K87*K74-(K75^2*K83+K87*K80*K73+K84*K78*K74))/K88</f>
        <v>4.8768053814628877E-2</v>
      </c>
      <c r="O74" s="32">
        <v>1.7624725306790032E-2</v>
      </c>
      <c r="P74" t="s">
        <v>279</v>
      </c>
      <c r="Q74" s="31">
        <f>K92*N88+N73+N74*N89</f>
        <v>-0.10680541108699315</v>
      </c>
      <c r="R74" s="33">
        <v>3.2958121527570303</v>
      </c>
    </row>
    <row r="75" spans="2:18">
      <c r="B75" s="14" t="s">
        <v>118</v>
      </c>
      <c r="C75" s="14" t="s">
        <v>225</v>
      </c>
      <c r="D75" s="27">
        <f>(1/(D71-1))*(0.66845+5.7169*(D71^2*LOG(D71)/(D71^2-1)))</f>
        <v>21.378592947826505</v>
      </c>
      <c r="E75" s="26"/>
      <c r="F75" s="14"/>
      <c r="G75" s="14" t="s">
        <v>238</v>
      </c>
      <c r="J75" t="s">
        <v>241</v>
      </c>
      <c r="K75" s="31">
        <f>1/210+K70/360</f>
        <v>7.261904761904762E-3</v>
      </c>
      <c r="L75" s="32">
        <v>4.7619047619047623E-3</v>
      </c>
      <c r="M75" t="s">
        <v>263</v>
      </c>
      <c r="N75" s="31">
        <f>(K73*K79*K85+K74*K81*K75+K76*K80*K74-(K75*K79*K76+K80*K81*K73+K74^2*K85))/K88</f>
        <v>-0.11565623115391037</v>
      </c>
      <c r="O75" s="32">
        <v>-5.7366543150512064E-3</v>
      </c>
      <c r="P75" t="s">
        <v>280</v>
      </c>
      <c r="Q75" s="31">
        <f>N75*N88+N76+N77*N89</f>
        <v>8.9565517170524023E-2</v>
      </c>
      <c r="R75" s="33">
        <v>-1.5763343211992378</v>
      </c>
    </row>
    <row r="76" spans="2:18">
      <c r="B76" s="14"/>
      <c r="C76" s="14"/>
      <c r="D76" s="25"/>
      <c r="E76" s="14"/>
      <c r="F76" s="14"/>
      <c r="J76" t="s">
        <v>242</v>
      </c>
      <c r="K76" s="31">
        <f>11/360+59*K70/5040+(1+3*K70)/K71</f>
        <v>8.1142071838751555</v>
      </c>
      <c r="L76" s="32">
        <v>0.24743477803547859</v>
      </c>
      <c r="M76" t="s">
        <v>264</v>
      </c>
      <c r="N76" s="31">
        <f>(K73*K79*K86+K74*K82*K75+K77*K80*K74-(K75*K79*K77+K80*K82*K73+K74^2*K86))/K88</f>
        <v>0.14371862906919697</v>
      </c>
      <c r="O76" s="32">
        <v>-2.120785875390694E-3</v>
      </c>
      <c r="P76" t="s">
        <v>281</v>
      </c>
      <c r="Q76" s="31">
        <f>(3+N89+3*N88)/12-(2*Q75+15*Q74+10*Q73)/10</f>
        <v>3.2458023417573227</v>
      </c>
      <c r="R76" s="33">
        <v>-13.367848725516938</v>
      </c>
    </row>
    <row r="77" spans="2:18">
      <c r="B77" s="14"/>
      <c r="C77" s="14" t="s">
        <v>215</v>
      </c>
      <c r="D77" s="14">
        <f>D50/D49</f>
        <v>1.9</v>
      </c>
      <c r="E77" s="14"/>
      <c r="F77" s="14"/>
      <c r="J77" t="s">
        <v>243</v>
      </c>
      <c r="K77" s="31">
        <f>1/90+5*K70/1008-(1+K70)^3/K71</f>
        <v>-14.950235969217418</v>
      </c>
      <c r="L77" s="32">
        <v>-0.2057681113688119</v>
      </c>
      <c r="M77" t="s">
        <v>265</v>
      </c>
      <c r="N77" s="31">
        <f>(K73*K79*K87+K74*K83*K75+K78*K80*K74-(K75*K79*K78+K80*K83*K73+K74^2*K87))/K88</f>
        <v>-5.4616090981847269E-2</v>
      </c>
      <c r="O77" s="32">
        <v>-1.3206872805221041E-3</v>
      </c>
      <c r="P77" t="s">
        <v>282</v>
      </c>
      <c r="Q77" s="31">
        <f>Q73*(3+K70)/6+Q74*(21+11*K70)/84+Q75*(3+2*K70)/210</f>
        <v>-1.6767480086377198</v>
      </c>
      <c r="R77" s="33">
        <v>-0.22228078551670458</v>
      </c>
    </row>
    <row r="78" spans="2:18">
      <c r="B78" s="14"/>
      <c r="C78" s="14" t="s">
        <v>216</v>
      </c>
      <c r="D78" s="14">
        <f>D19/D72</f>
        <v>0.3200512122912777</v>
      </c>
      <c r="E78" s="14"/>
      <c r="F78" s="14"/>
      <c r="J78" t="s">
        <v>244</v>
      </c>
      <c r="K78" s="31">
        <f>1/120+17*K70/5040+1/K71</f>
        <v>2.1932922676282058</v>
      </c>
      <c r="L78" s="32">
        <v>0.22521255581325636</v>
      </c>
      <c r="M78" t="s">
        <v>266</v>
      </c>
      <c r="N78" s="31">
        <f>-((K71/4)^0.25)</f>
        <v>-0.58180190127740528</v>
      </c>
      <c r="O78" s="32">
        <v>-1.036168809841308</v>
      </c>
      <c r="P78" t="s">
        <v>283</v>
      </c>
      <c r="Q78" s="31">
        <f>Q77-N88*(7/120+K70/36+3*K70/K71)-1/40-K70/72-N89*(1/60+K70/120+1/K71)</f>
        <v>-8.3057854955061092</v>
      </c>
      <c r="R78" s="33">
        <v>-0.22228078551670458</v>
      </c>
    </row>
    <row r="79" spans="2:18">
      <c r="B79" s="14"/>
      <c r="C79" s="14"/>
      <c r="D79" s="41" t="s">
        <v>316</v>
      </c>
      <c r="E79" s="42" t="s">
        <v>335</v>
      </c>
      <c r="F79" s="14"/>
      <c r="J79" t="s">
        <v>245</v>
      </c>
      <c r="K79" s="31">
        <f>215/2772+51*K70/1232+(120+225*K70+150*K70^2+35*K70^3)/(14*K71)</f>
        <v>73.289509295539247</v>
      </c>
      <c r="L79" s="32">
        <v>1.9365260916749534</v>
      </c>
      <c r="M79" t="s">
        <v>267</v>
      </c>
      <c r="N79" s="31">
        <f>K92-K89-5/12+K89*N78</f>
        <v>-31.706315170973916</v>
      </c>
      <c r="O79" s="32">
        <v>-1.8929276225434239</v>
      </c>
      <c r="Q79" s="26"/>
    </row>
    <row r="80" spans="2:18">
      <c r="B80" s="14" t="s">
        <v>315</v>
      </c>
      <c r="C80" s="14" t="s">
        <v>222</v>
      </c>
      <c r="D80" s="9">
        <f>$D$67*$D$70/$D$48</f>
        <v>27597.237438477667</v>
      </c>
      <c r="E80" s="9">
        <f>$E$67*$D$70/$D$17</f>
        <v>37675.779380281652</v>
      </c>
      <c r="F80" s="14" t="s">
        <v>202</v>
      </c>
      <c r="J80" t="s">
        <v>246</v>
      </c>
      <c r="K80" s="31">
        <f>31/6930+128*K70/45045+(66+165*K70+132*K70^2+35*K70^3)/(77*K71)</f>
        <v>9.8380116864317504</v>
      </c>
      <c r="L80" s="32">
        <v>0.19036978088466705</v>
      </c>
      <c r="M80" t="s">
        <v>268</v>
      </c>
      <c r="N80" s="31">
        <f>N74-K91-1/12+K91*N78</f>
        <v>-8.5013858333722094</v>
      </c>
      <c r="O80" s="32">
        <v>-1.4286426138421282</v>
      </c>
      <c r="Q80" s="26"/>
    </row>
    <row r="81" spans="2:17">
      <c r="B81" s="14" t="s">
        <v>314</v>
      </c>
      <c r="C81" s="14" t="s">
        <v>223</v>
      </c>
      <c r="D81" s="9">
        <f>$D$68*$D$70/$D$48</f>
        <v>18869.016134097306</v>
      </c>
      <c r="E81" s="9">
        <f>$E$68*$D$70/$D$17</f>
        <v>34758.167959079474</v>
      </c>
      <c r="F81" s="14" t="s">
        <v>202</v>
      </c>
      <c r="J81" t="s">
        <v>247</v>
      </c>
      <c r="K81" s="31">
        <f>533/30240+653*K70/73920+(42+198*K70+117*K70^2+25*K70^3)/(84*K71)</f>
        <v>8.6804083780428307</v>
      </c>
      <c r="L81" s="32">
        <v>0.12606527261562289</v>
      </c>
      <c r="M81" t="s">
        <v>269</v>
      </c>
      <c r="N81" s="31">
        <f>-SQRT(K71/4)</f>
        <v>-0.33849345233000366</v>
      </c>
      <c r="O81" s="32">
        <v>-1.0736458024879527</v>
      </c>
      <c r="Q81" s="26"/>
    </row>
    <row r="82" spans="2:17">
      <c r="B82" s="14" t="s">
        <v>289</v>
      </c>
      <c r="C82" s="14"/>
      <c r="D82" s="14"/>
      <c r="E82" s="14"/>
      <c r="F82" s="14"/>
      <c r="J82" t="s">
        <v>248</v>
      </c>
      <c r="K82" s="31">
        <f>29/3780+3*K70/704-(42+198*K70+243*K70^2+91*K70^3)/(84*K71)</f>
        <v>-12.544136207110158</v>
      </c>
      <c r="L82" s="32">
        <v>-0.10076765356800384</v>
      </c>
      <c r="M82" t="s">
        <v>270</v>
      </c>
      <c r="N82" s="31">
        <f>-((K71/4)^0.75)</f>
        <v>-0.19693613413554886</v>
      </c>
      <c r="O82" s="32">
        <v>-1.1124782933550579</v>
      </c>
    </row>
    <row r="83" spans="2:17">
      <c r="B83" s="14"/>
      <c r="C83" s="14" t="s">
        <v>284</v>
      </c>
      <c r="D83" s="35">
        <f>-Q78/K95</f>
        <v>0.86702370535377793</v>
      </c>
      <c r="E83" s="32">
        <f>G87</f>
        <v>0.86702370535377626</v>
      </c>
      <c r="F83" s="14" t="s">
        <v>285</v>
      </c>
      <c r="J83" t="s">
        <v>251</v>
      </c>
      <c r="K83" s="31">
        <f>31/6048+1763*K70/665280+(42+72*K70+45*K70^2+10*K70^3)/(84*K71)</f>
        <v>3.9178287857717282</v>
      </c>
      <c r="L83" s="32">
        <v>0.11356527261562288</v>
      </c>
      <c r="M83" t="s">
        <v>271</v>
      </c>
      <c r="N83" s="31">
        <f>3*K70/2-K89*N82</f>
        <v>5.2567292753273724</v>
      </c>
      <c r="O83" s="32"/>
    </row>
    <row r="84" spans="2:17">
      <c r="C84" s="14" t="s">
        <v>286</v>
      </c>
      <c r="D84" s="35">
        <f>Q76/(     (3*(1-$D$11^2)/$K$71)^0.25 *(1+$K$70)^3   )</f>
        <v>0.30290799659929996</v>
      </c>
      <c r="E84" s="32">
        <f>G88</f>
        <v>0.3029079965992964</v>
      </c>
      <c r="J84" t="s">
        <v>252</v>
      </c>
      <c r="K84" s="31">
        <f>1/2925+71*K70/300300+(88+198*K70+156*K70^2+42*K70^3)/(385*K71)</f>
        <v>2.3988453283261886</v>
      </c>
      <c r="L84" s="32">
        <v>4.9914274051577029E-2</v>
      </c>
      <c r="M84" t="s">
        <v>272</v>
      </c>
      <c r="N84" s="31">
        <f>0.5-K91*N82</f>
        <v>1.5541287799368344</v>
      </c>
      <c r="O84" s="32"/>
    </row>
    <row r="85" spans="2:17">
      <c r="C85" s="14" t="s">
        <v>287</v>
      </c>
      <c r="D85" s="35">
        <f>E85</f>
        <v>1.7791396129501738</v>
      </c>
      <c r="E85" s="32">
        <f>MAX(G89,1)</f>
        <v>1.7791396129501738</v>
      </c>
      <c r="J85" t="s">
        <v>253</v>
      </c>
      <c r="K85" s="31">
        <f>761/831600+937*K70/1663200+(2+12*K70+11*K70^2+3*K70^3)/(70*K71)</f>
        <v>0.74629955502655032</v>
      </c>
      <c r="L85" s="32">
        <v>7.111652628815501E-3</v>
      </c>
      <c r="M85" t="s">
        <v>273</v>
      </c>
      <c r="N85" s="31">
        <f>(N78*N84)/2+N80*N83*N81-((N82*N80)/2+N84*N79*N81)</f>
        <v>-2.8416156826332326</v>
      </c>
      <c r="O85" s="32"/>
    </row>
    <row r="86" spans="2:17">
      <c r="C86" s="14" t="s">
        <v>301</v>
      </c>
      <c r="D86" s="35">
        <f>((D16*D83+D72)/(D73*D72) + (D16^3*D84)/(D74*D72*D49^2))</f>
        <v>1.7360482592947706</v>
      </c>
      <c r="E86" s="32"/>
      <c r="J86" t="s">
        <v>254</v>
      </c>
      <c r="K86" s="31">
        <f>197/415800+103*K70/332640-(2+12*K70+17*K70^2+7*K70^3)/(70*K71)</f>
        <v>-0.98650545126325007</v>
      </c>
      <c r="L86" s="32">
        <v>-5.7227637399266127E-3</v>
      </c>
      <c r="M86" t="s">
        <v>274</v>
      </c>
      <c r="N86" s="31">
        <f>1/12+K90-N73-K90*N78</f>
        <v>-57.657556432570587</v>
      </c>
      <c r="O86" s="32"/>
    </row>
    <row r="87" spans="2:17">
      <c r="B87" t="s">
        <v>288</v>
      </c>
      <c r="D87" s="36"/>
      <c r="E87" s="32"/>
      <c r="F87" s="37" t="s">
        <v>294</v>
      </c>
      <c r="G87" s="75">
        <v>0.86702370535377626</v>
      </c>
      <c r="J87" t="s">
        <v>255</v>
      </c>
      <c r="K87" s="31">
        <f>233/831600+97*K70/554400+(6+18*K70+15*K70^2+4*K70^3)/(210*K71)</f>
        <v>0.38763551086913256</v>
      </c>
      <c r="L87" s="32">
        <v>6.476731993894866E-3</v>
      </c>
      <c r="M87" t="s">
        <v>275</v>
      </c>
      <c r="N87" s="31">
        <f>K90*N82</f>
        <v>7.2022927362403282</v>
      </c>
      <c r="O87" s="32"/>
    </row>
    <row r="88" spans="2:17">
      <c r="C88" s="14" t="s">
        <v>291</v>
      </c>
      <c r="D88" s="35">
        <f>-(K90*(3+K70)/6+N73*(21+11*K70)/84+N76*(3+2*K70)/210-(9+5*K70)/360)/K95</f>
        <v>2.4892009325485152</v>
      </c>
      <c r="E88" s="32">
        <f>G91</f>
        <v>3.448794105888783</v>
      </c>
      <c r="F88" s="37" t="s">
        <v>295</v>
      </c>
      <c r="G88" s="32">
        <v>0.3029079965992964</v>
      </c>
      <c r="J88" t="s">
        <v>256</v>
      </c>
      <c r="K88" s="31">
        <f>K73*K79*K84+K74*K80*K75+K75*K80*K74-(K75^2*K79+K80^2*K73+K74^2*K84)</f>
        <v>32.222692720033216</v>
      </c>
      <c r="L88" s="32">
        <v>1.9604404945701374E-2</v>
      </c>
      <c r="M88" t="s">
        <v>276</v>
      </c>
      <c r="N88" s="31">
        <f>(N80*N87*N81-N84*N86*N81)/N85</f>
        <v>3.3803652646053246</v>
      </c>
      <c r="O88" s="32"/>
    </row>
    <row r="89" spans="2:17">
      <c r="C89" s="14" t="s">
        <v>292</v>
      </c>
      <c r="D89" s="35">
        <f>(0.25-N76/5-1.5*N73-K90)/K96</f>
        <v>3.448794105888783</v>
      </c>
      <c r="E89" s="32">
        <f>G92</f>
        <v>1</v>
      </c>
      <c r="F89" s="37" t="s">
        <v>95</v>
      </c>
      <c r="G89" s="32">
        <v>1.7791396129501738</v>
      </c>
      <c r="J89" t="s">
        <v>257</v>
      </c>
      <c r="K89" s="31">
        <f>(K76*K79*K84+K74*K80*K85+K75*K80*K81-(K85*K79*K75+K80^2*K76+K84*K74*K81))/K88</f>
        <v>19.837544249946614</v>
      </c>
      <c r="L89" s="32">
        <v>0.73507412526901217</v>
      </c>
      <c r="M89" t="s">
        <v>277</v>
      </c>
      <c r="N89" s="31">
        <f>((N78*N87)/2+N86*N83*N81-(N82*N86)/2-N87*N79*N81)/N85</f>
        <v>-6.1668125359084076</v>
      </c>
      <c r="O89" s="32"/>
    </row>
    <row r="90" spans="2:17">
      <c r="C90" s="14" t="s">
        <v>301</v>
      </c>
      <c r="D90" s="35">
        <f>($D$16*D88+$D$72)/($D$73*$D$72)+($D$16^3*D89)/($D$74*$D$72*$D$20^2)</f>
        <v>5.3393928302905564</v>
      </c>
      <c r="E90" s="26"/>
      <c r="F90" s="37" t="s">
        <v>96</v>
      </c>
      <c r="G90" s="32">
        <v>2.4892009325485147</v>
      </c>
      <c r="J90" t="s">
        <v>258</v>
      </c>
      <c r="K90" s="31">
        <f>(K77*K79*K84+K74*K80*K86+K75*K80*K82-(K86*K79*K75+K80^2*K77+K84*K74*K82))/K88</f>
        <v>-36.571717871150419</v>
      </c>
      <c r="L90" s="32">
        <v>-0.61220562815329427</v>
      </c>
      <c r="N90" s="26"/>
    </row>
    <row r="91" spans="2:17">
      <c r="D91" s="26"/>
      <c r="E91" s="26"/>
      <c r="F91" s="37" t="s">
        <v>296</v>
      </c>
      <c r="G91" s="32">
        <v>3.448794105888783</v>
      </c>
      <c r="J91" t="s">
        <v>259</v>
      </c>
      <c r="K91" s="31">
        <f>(K78*K79*K84+K74*K80*K87+K75*K80*K83-(K87*K79*K75+K80^2*K78+K84*K74*K83))/K88</f>
        <v>5.352642797442595</v>
      </c>
      <c r="L91" s="32">
        <v>0.66936198964849447</v>
      </c>
      <c r="N91" s="26"/>
    </row>
    <row r="92" spans="2:17">
      <c r="D92" s="26"/>
      <c r="E92" s="26"/>
      <c r="F92" s="37" t="s">
        <v>97</v>
      </c>
      <c r="G92" s="32">
        <v>1</v>
      </c>
      <c r="J92" t="s">
        <v>260</v>
      </c>
      <c r="K92" s="31">
        <f>(K73*K81*K84+K76*K80*K75+K75*K85*K74-(K75^2*K81+K85*K80*K73+K84*K76*K74))/K88</f>
        <v>8.9416706932963538E-2</v>
      </c>
      <c r="L92" s="32">
        <v>2.0474050917387864E-2</v>
      </c>
      <c r="N92" s="26"/>
    </row>
    <row r="93" spans="2:17">
      <c r="D93" s="26"/>
      <c r="E93" s="26"/>
      <c r="F93" s="37"/>
      <c r="G93" s="32"/>
      <c r="K93" s="26"/>
    </row>
    <row r="94" spans="2:17">
      <c r="B94" s="44" t="s">
        <v>338</v>
      </c>
      <c r="D94" s="26"/>
      <c r="E94" s="26"/>
      <c r="F94" s="37"/>
      <c r="G94" s="32"/>
      <c r="K94" s="26"/>
    </row>
    <row r="95" spans="2:17">
      <c r="B95" s="13" t="s">
        <v>298</v>
      </c>
      <c r="D95" s="39" t="s">
        <v>317</v>
      </c>
      <c r="E95" s="39" t="s">
        <v>316</v>
      </c>
      <c r="J95" s="14" t="s">
        <v>290</v>
      </c>
      <c r="K95" s="26">
        <f>(   ($K$71/(3*(1-$D$11^2)))^0.25 *  (1+$K$70)^3/$K$71   )</f>
        <v>9.5796521412491717</v>
      </c>
    </row>
    <row r="96" spans="2:17">
      <c r="B96" t="s">
        <v>304</v>
      </c>
      <c r="C96" t="s">
        <v>305</v>
      </c>
      <c r="D96" s="14">
        <f>$D$85*D80/($D$86*$D$21^2)</f>
        <v>45.251588436586594</v>
      </c>
      <c r="E96" s="14">
        <f>$D$85*$D$81/($D$86*$D$50^2)</f>
        <v>53.566132309042857</v>
      </c>
      <c r="F96" t="s">
        <v>87</v>
      </c>
      <c r="G96" s="34" t="s">
        <v>307</v>
      </c>
      <c r="J96" s="14" t="s">
        <v>293</v>
      </c>
      <c r="K96" s="26">
        <f xml:space="preserve">     (3*(1-$D$11^2)/$K$71)^0.25 *(1+$K$70)^3</f>
        <v>10.715472612798047</v>
      </c>
    </row>
    <row r="97" spans="2:19">
      <c r="B97" t="s">
        <v>303</v>
      </c>
      <c r="C97" t="s">
        <v>306</v>
      </c>
      <c r="D97" s="14">
        <f>((1.3333*$D$16*$D$83+$D$72)*D80)/($D$86*$D$16^2*$D$72)</f>
        <v>3.3632774631865421</v>
      </c>
      <c r="E97" s="14">
        <f>((1.3333*$D$16*$D$83+$D$72)*D81)/($D$86*$D$16^2*$D$72)</f>
        <v>2.2995684570887769</v>
      </c>
      <c r="F97" t="s">
        <v>87</v>
      </c>
      <c r="G97" s="34" t="s">
        <v>309</v>
      </c>
    </row>
    <row r="98" spans="2:19" ht="13.5">
      <c r="B98" t="s">
        <v>302</v>
      </c>
      <c r="C98" t="s">
        <v>310</v>
      </c>
      <c r="D98" s="14">
        <f>(($D$75*D80)/$D$16^2)-(D97*($D$71^2+1)/($D$71^2-1))</f>
        <v>29.517260162271135</v>
      </c>
      <c r="E98" s="14">
        <f>(($D$75*D81)/$D$16^2)-(E97*($D$71^2+1)/($D$71^2-1))</f>
        <v>20.181790278025932</v>
      </c>
      <c r="F98" t="s">
        <v>87</v>
      </c>
      <c r="G98" s="34" t="s">
        <v>312</v>
      </c>
      <c r="K98">
        <v>0.1</v>
      </c>
      <c r="L98">
        <v>1</v>
      </c>
      <c r="M98">
        <v>0.5</v>
      </c>
      <c r="Q98">
        <v>0.1</v>
      </c>
      <c r="R98">
        <v>1</v>
      </c>
      <c r="S98">
        <v>2</v>
      </c>
    </row>
    <row r="99" spans="2:19">
      <c r="B99" s="13" t="s">
        <v>299</v>
      </c>
      <c r="E99" s="14"/>
      <c r="G99" s="34"/>
      <c r="J99">
        <v>1</v>
      </c>
      <c r="K99">
        <v>1</v>
      </c>
      <c r="L99">
        <v>1</v>
      </c>
      <c r="M99">
        <v>1</v>
      </c>
      <c r="P99">
        <v>1</v>
      </c>
      <c r="Q99" s="26">
        <v>0.90890000000000004</v>
      </c>
      <c r="R99" s="26">
        <v>0.90880000000000005</v>
      </c>
      <c r="S99" s="26">
        <v>0.90839999999999999</v>
      </c>
    </row>
    <row r="100" spans="2:19">
      <c r="B100" t="s">
        <v>304</v>
      </c>
      <c r="C100" t="s">
        <v>305</v>
      </c>
      <c r="D100" s="14">
        <v>0</v>
      </c>
      <c r="E100" s="14">
        <v>0</v>
      </c>
      <c r="F100" t="s">
        <v>87</v>
      </c>
      <c r="G100" s="34" t="s">
        <v>313</v>
      </c>
      <c r="J100">
        <v>2</v>
      </c>
      <c r="K100">
        <v>3.28</v>
      </c>
      <c r="L100">
        <v>1</v>
      </c>
      <c r="M100">
        <v>1.22</v>
      </c>
      <c r="P100">
        <v>2</v>
      </c>
      <c r="Q100" s="26">
        <v>0.90380000000000005</v>
      </c>
      <c r="R100" s="26">
        <v>0.74</v>
      </c>
      <c r="S100" s="26">
        <v>0.68240000000000001</v>
      </c>
    </row>
    <row r="101" spans="2:19">
      <c r="B101" t="s">
        <v>303</v>
      </c>
      <c r="C101" t="s">
        <v>306</v>
      </c>
      <c r="D101" s="14">
        <v>0</v>
      </c>
      <c r="E101" s="14">
        <v>0</v>
      </c>
      <c r="F101" t="s">
        <v>87</v>
      </c>
      <c r="G101" s="34" t="s">
        <v>313</v>
      </c>
      <c r="J101">
        <v>3</v>
      </c>
      <c r="K101">
        <v>7.39</v>
      </c>
      <c r="L101">
        <v>1</v>
      </c>
      <c r="M101">
        <v>2.89</v>
      </c>
      <c r="P101">
        <v>3</v>
      </c>
      <c r="Q101" s="26">
        <v>0.90590000000000004</v>
      </c>
      <c r="R101" s="26">
        <v>0.6895</v>
      </c>
      <c r="S101" s="26">
        <v>0.5877</v>
      </c>
    </row>
    <row r="102" spans="2:19" ht="13.5">
      <c r="B102" t="s">
        <v>302</v>
      </c>
      <c r="C102" t="s">
        <v>310</v>
      </c>
      <c r="D102" s="14">
        <f>($D$75*D80)/$D$16^2</f>
        <v>66.771175382722063</v>
      </c>
      <c r="E102" s="14">
        <f>($D$75*D81)/$D$16^2</f>
        <v>45.653351658763825</v>
      </c>
      <c r="F102" t="s">
        <v>87</v>
      </c>
      <c r="G102" s="34" t="s">
        <v>311</v>
      </c>
      <c r="J102">
        <v>4</v>
      </c>
      <c r="K102">
        <v>13.14</v>
      </c>
      <c r="L102">
        <v>1.5329999999999999</v>
      </c>
      <c r="M102">
        <v>5.27</v>
      </c>
      <c r="P102">
        <v>4</v>
      </c>
      <c r="Q102" s="26">
        <v>0.90890000000000004</v>
      </c>
      <c r="R102" s="26">
        <v>0.66869999999999996</v>
      </c>
      <c r="S102" s="26">
        <v>0.53680000000000005</v>
      </c>
    </row>
    <row r="103" spans="2:19">
      <c r="B103" s="13" t="s">
        <v>308</v>
      </c>
      <c r="D103" s="14"/>
      <c r="E103" s="14"/>
      <c r="G103" s="34"/>
      <c r="J103">
        <v>5</v>
      </c>
      <c r="K103">
        <v>20.54</v>
      </c>
      <c r="L103">
        <v>2.73</v>
      </c>
      <c r="M103">
        <v>8.3800000000000008</v>
      </c>
      <c r="P103">
        <v>5</v>
      </c>
      <c r="Q103" s="26">
        <v>0.91249999999999998</v>
      </c>
      <c r="R103" s="26">
        <v>0.65359999999999996</v>
      </c>
      <c r="S103" s="26">
        <v>0.50639999999999996</v>
      </c>
    </row>
    <row r="104" spans="2:19">
      <c r="B104" t="s">
        <v>304</v>
      </c>
      <c r="C104" t="s">
        <v>305</v>
      </c>
      <c r="D104" s="14">
        <f>D80/($D$90*$D$21^2)</f>
        <v>8.2697754791646272</v>
      </c>
      <c r="E104" s="14">
        <f>D81/($D$90*$D$21^2)</f>
        <v>5.6542806971018091</v>
      </c>
      <c r="F104" t="s">
        <v>87</v>
      </c>
      <c r="G104" s="34" t="s">
        <v>318</v>
      </c>
    </row>
    <row r="105" spans="2:19">
      <c r="B105" t="s">
        <v>303</v>
      </c>
      <c r="C105" t="s">
        <v>306</v>
      </c>
      <c r="D105" s="14">
        <f>((1.3333*$D$16*$D$88+$D$72)*D80)/($D$90*$D$16^2*$D$72)</f>
        <v>2.0450846759857599</v>
      </c>
      <c r="E105" s="14">
        <f>((1.3333*$D$16*$D$88+$D$72)*D81)/($D$90*$D$16^2*$D$72)</f>
        <v>1.3982825575493225</v>
      </c>
      <c r="F105" t="s">
        <v>87</v>
      </c>
      <c r="G105" s="34" t="s">
        <v>319</v>
      </c>
    </row>
    <row r="106" spans="2:19" ht="13.5">
      <c r="B106" t="s">
        <v>302</v>
      </c>
      <c r="C106" t="s">
        <v>310</v>
      </c>
      <c r="D106" s="14">
        <f>(($D$75*D80)/$D$16^2)-(D105*($D$71^2+1)/($D$71^2-1))</f>
        <v>44.118446914214147</v>
      </c>
      <c r="E106" s="14">
        <f>(($D$75*D81)/$D$16^2)-(E105*($D$71^2+1)/($D$71^2-1))</f>
        <v>30.165036934999229</v>
      </c>
      <c r="F106" t="s">
        <v>87</v>
      </c>
      <c r="G106" s="34" t="s">
        <v>320</v>
      </c>
    </row>
    <row r="108" spans="2:19">
      <c r="B108" t="s">
        <v>304</v>
      </c>
      <c r="C108" t="s">
        <v>305</v>
      </c>
      <c r="D108" s="14">
        <f t="shared" ref="D108:E110" si="0">IF($E$9=1,D96,IF($E$9=2,D100,D104))</f>
        <v>45.251588436586594</v>
      </c>
      <c r="E108" s="25">
        <f t="shared" si="0"/>
        <v>53.566132309042857</v>
      </c>
      <c r="F108" t="s">
        <v>87</v>
      </c>
    </row>
    <row r="109" spans="2:19">
      <c r="B109" t="s">
        <v>303</v>
      </c>
      <c r="C109" t="s">
        <v>306</v>
      </c>
      <c r="D109" s="14">
        <f t="shared" si="0"/>
        <v>3.3632774631865421</v>
      </c>
      <c r="E109" s="25">
        <f t="shared" si="0"/>
        <v>2.2995684570887769</v>
      </c>
      <c r="F109" t="s">
        <v>87</v>
      </c>
    </row>
    <row r="110" spans="2:19" ht="13.5">
      <c r="B110" t="s">
        <v>302</v>
      </c>
      <c r="C110" t="s">
        <v>310</v>
      </c>
      <c r="D110" s="14">
        <f t="shared" si="0"/>
        <v>29.517260162271135</v>
      </c>
      <c r="E110" s="25">
        <f t="shared" si="0"/>
        <v>20.181790278025932</v>
      </c>
      <c r="F110" t="s">
        <v>87</v>
      </c>
    </row>
    <row r="111" spans="2:19" ht="13.5" customHeight="1"/>
    <row r="113" spans="2:9">
      <c r="B113" t="s">
        <v>322</v>
      </c>
      <c r="C113" t="s">
        <v>321</v>
      </c>
      <c r="D113" s="14">
        <f>IF(D17&lt;1000,1,IF(D17&gt;2000,1.333,2/3*(1+D17/2000)))</f>
        <v>1.1833333333333331</v>
      </c>
      <c r="G113" s="34" t="s">
        <v>323</v>
      </c>
    </row>
    <row r="115" spans="2:9">
      <c r="B115" s="13" t="s">
        <v>337</v>
      </c>
      <c r="F115" s="40"/>
      <c r="G115" s="34"/>
      <c r="I115" t="s">
        <v>334</v>
      </c>
    </row>
    <row r="116" spans="2:9">
      <c r="B116" s="12" t="s">
        <v>327</v>
      </c>
      <c r="D116" s="40" t="str">
        <f>IF($D$113*D108&lt;=1.5*$D$39,"OK","failed")</f>
        <v>OK</v>
      </c>
      <c r="E116" s="40" t="str">
        <f>IF($D$113*E108&lt;=1.5*$D$39,"OK","failed")</f>
        <v>OK</v>
      </c>
      <c r="F116" s="40"/>
      <c r="G116" s="34" t="s">
        <v>324</v>
      </c>
      <c r="H116" s="29"/>
      <c r="I116" s="29">
        <f>($D$113*E108)/(1.5*$D$39)</f>
        <v>0.3494299332912571</v>
      </c>
    </row>
    <row r="117" spans="2:9">
      <c r="B117" s="12" t="s">
        <v>328</v>
      </c>
      <c r="D117" s="40" t="str">
        <f>IF($D$113*D109&lt;=$D$39,"OK","failed")</f>
        <v>OK</v>
      </c>
      <c r="E117" s="40" t="str">
        <f>IF($D$113*E109&lt;=$D$39,"OK","failed")</f>
        <v>OK</v>
      </c>
      <c r="F117" s="40"/>
      <c r="G117" s="34" t="s">
        <v>325</v>
      </c>
      <c r="H117" s="29"/>
      <c r="I117" s="29">
        <f>($D$113*E109)/($D$39)</f>
        <v>2.2501290029396794E-2</v>
      </c>
    </row>
    <row r="118" spans="2:9" ht="13.5">
      <c r="B118" s="12" t="s">
        <v>329</v>
      </c>
      <c r="D118" s="40" t="str">
        <f>IF($D$113*D110&lt;=$D$39,"OK","failed")</f>
        <v>OK</v>
      </c>
      <c r="E118" s="40" t="str">
        <f>IF($D$113*E110&lt;=$D$39,"OK","failed")</f>
        <v>OK</v>
      </c>
      <c r="F118" s="40"/>
      <c r="G118" s="34" t="s">
        <v>326</v>
      </c>
      <c r="H118" s="29"/>
      <c r="I118" s="29">
        <f>($D$113*E110)/($D$39)</f>
        <v>0.19747892912621842</v>
      </c>
    </row>
    <row r="119" spans="2:9">
      <c r="B119" s="12" t="s">
        <v>331</v>
      </c>
      <c r="D119" s="40" t="str">
        <f>IF(0.5*$D$113*(D108+D109) &lt;=$D$39,"OK","failed")</f>
        <v>OK</v>
      </c>
      <c r="E119" s="40" t="str">
        <f>IF(0.5*$D$113*(E108+E109) &lt;=$D$39,"OK","failed")</f>
        <v>OK</v>
      </c>
      <c r="F119" s="40"/>
      <c r="G119" s="34" t="s">
        <v>332</v>
      </c>
      <c r="H119" s="29"/>
      <c r="I119" s="29">
        <f>0.5*(E108+E109)/$D$39</f>
        <v>0.23097726336603486</v>
      </c>
    </row>
    <row r="120" spans="2:9" ht="13.5">
      <c r="B120" s="12" t="s">
        <v>330</v>
      </c>
      <c r="D120" s="40" t="str">
        <f>IF(0.5*$D$113*(D108+D110) &lt;=$D$39,"OK","failed")</f>
        <v>OK</v>
      </c>
      <c r="E120" s="40" t="str">
        <f>IF(0.5*$D$113*(E108+E110) &lt;=$D$39,"OK","failed")</f>
        <v>OK</v>
      </c>
      <c r="G120" s="34" t="s">
        <v>333</v>
      </c>
      <c r="H120" s="29"/>
      <c r="I120" s="29">
        <f>0.5*(E108+E110)/$D$39</f>
        <v>0.30491147706891725</v>
      </c>
    </row>
    <row r="121" spans="2:9">
      <c r="G121" s="34"/>
    </row>
    <row r="122" spans="2:9">
      <c r="B122" s="44" t="s">
        <v>339</v>
      </c>
      <c r="F122" s="40"/>
      <c r="G122" s="34"/>
    </row>
    <row r="123" spans="2:9">
      <c r="B123" s="13" t="s">
        <v>298</v>
      </c>
      <c r="D123" s="39" t="s">
        <v>317</v>
      </c>
      <c r="E123" s="39" t="s">
        <v>316</v>
      </c>
    </row>
    <row r="124" spans="2:9">
      <c r="B124" t="s">
        <v>304</v>
      </c>
      <c r="C124" t="s">
        <v>305</v>
      </c>
      <c r="D124" s="14">
        <f>$D$85*E80/($D$86*$D$21^2)</f>
        <v>61.777519084830061</v>
      </c>
      <c r="E124" s="14">
        <f>$D$85*E81/($D$86*$D$21^2)</f>
        <v>56.993469538405307</v>
      </c>
      <c r="F124" t="s">
        <v>87</v>
      </c>
      <c r="G124" s="34" t="s">
        <v>307</v>
      </c>
    </row>
    <row r="125" spans="2:9">
      <c r="B125" t="s">
        <v>303</v>
      </c>
      <c r="C125" t="s">
        <v>306</v>
      </c>
      <c r="D125" s="14">
        <f>((1.3333*$D$16*$D$83+$D$72)*E80)/($D$86*$D$16^2*$D$72)</f>
        <v>4.5915501499080253</v>
      </c>
      <c r="E125" s="14">
        <f>((1.3333*$D$16*$D$83+$D$72)*E81)/($D$86*$D$16^2*$D$72)</f>
        <v>4.2359806201266332</v>
      </c>
      <c r="F125" t="s">
        <v>87</v>
      </c>
      <c r="G125" s="34" t="s">
        <v>309</v>
      </c>
    </row>
    <row r="126" spans="2:9" ht="13.5">
      <c r="B126" t="s">
        <v>302</v>
      </c>
      <c r="C126" t="s">
        <v>310</v>
      </c>
      <c r="D126" s="14">
        <f>(($D$75*E80)/$D$16^2)-(D125*($D$71^2+1)/($D$71^2-1))</f>
        <v>40.296996547689581</v>
      </c>
      <c r="E126" s="14">
        <f>(($D$75*E81)/$D$16^2)-(E125*($D$71^2+1)/($D$71^2-1))</f>
        <v>37.176398134025007</v>
      </c>
      <c r="F126" t="s">
        <v>87</v>
      </c>
      <c r="G126" s="34" t="s">
        <v>312</v>
      </c>
    </row>
    <row r="127" spans="2:9">
      <c r="B127" s="13" t="s">
        <v>299</v>
      </c>
      <c r="E127" s="14"/>
      <c r="G127" s="34"/>
    </row>
    <row r="128" spans="2:9">
      <c r="B128" t="s">
        <v>304</v>
      </c>
      <c r="C128" t="s">
        <v>305</v>
      </c>
      <c r="D128" s="14">
        <v>0</v>
      </c>
      <c r="E128" s="14">
        <v>0</v>
      </c>
      <c r="F128" t="s">
        <v>87</v>
      </c>
      <c r="G128" s="34" t="s">
        <v>313</v>
      </c>
    </row>
    <row r="129" spans="2:7">
      <c r="B129" t="s">
        <v>303</v>
      </c>
      <c r="C129" t="s">
        <v>306</v>
      </c>
      <c r="D129" s="14">
        <v>0</v>
      </c>
      <c r="E129" s="14">
        <v>0</v>
      </c>
      <c r="F129" t="s">
        <v>87</v>
      </c>
      <c r="G129" s="34" t="s">
        <v>313</v>
      </c>
    </row>
    <row r="130" spans="2:7" ht="13.5">
      <c r="B130" t="s">
        <v>302</v>
      </c>
      <c r="C130" t="s">
        <v>310</v>
      </c>
      <c r="D130" s="14">
        <f>($D$75*E80)/$D$16^2</f>
        <v>91.156083223535148</v>
      </c>
      <c r="E130" s="14">
        <f>($D$75*E81)/$D$16^2</f>
        <v>84.096958398522602</v>
      </c>
      <c r="F130" t="s">
        <v>87</v>
      </c>
      <c r="G130" s="34" t="s">
        <v>311</v>
      </c>
    </row>
    <row r="131" spans="2:7">
      <c r="B131" s="13" t="s">
        <v>308</v>
      </c>
      <c r="D131" s="14"/>
      <c r="E131" s="14"/>
      <c r="G131" s="34"/>
    </row>
    <row r="132" spans="2:7">
      <c r="B132" t="s">
        <v>304</v>
      </c>
      <c r="C132" t="s">
        <v>305</v>
      </c>
      <c r="D132" s="14">
        <f>E80/($D$90*$D$21^2)</f>
        <v>11.289906722441001</v>
      </c>
      <c r="E132" s="14">
        <f>E81/($D$90*$D$21^2)</f>
        <v>10.415616625739229</v>
      </c>
      <c r="F132" t="s">
        <v>87</v>
      </c>
      <c r="G132" s="34" t="s">
        <v>318</v>
      </c>
    </row>
    <row r="133" spans="2:7">
      <c r="B133" t="s">
        <v>303</v>
      </c>
      <c r="C133" t="s">
        <v>306</v>
      </c>
      <c r="D133" s="14">
        <f>((1.3333*$D$16*$D$88+$D$72)*E80)/($D$90*$D$16^2*$D$72)</f>
        <v>2.7919518842493449</v>
      </c>
      <c r="E133" s="14">
        <f>((1.3333*$D$16*$D$88+$D$72)*E81)/($D$90*$D$16^2*$D$72)</f>
        <v>2.5757431995473605</v>
      </c>
      <c r="F133" t="s">
        <v>87</v>
      </c>
      <c r="G133" s="34" t="s">
        <v>319</v>
      </c>
    </row>
    <row r="134" spans="2:7" ht="13.5">
      <c r="B134" t="s">
        <v>302</v>
      </c>
      <c r="C134" t="s">
        <v>310</v>
      </c>
      <c r="D134" s="14">
        <f>(($D$75*E80)/$D$16^2)-(D133*($D$71^2+1)/($D$71^2-1))</f>
        <v>60.230553012638481</v>
      </c>
      <c r="E134" s="14">
        <f>(($D$75*E81)/$D$16^2)-(E133*($D$71^2+1)/($D$71^2-1))</f>
        <v>55.566300480493965</v>
      </c>
      <c r="F134" t="s">
        <v>87</v>
      </c>
      <c r="G134" s="34" t="s">
        <v>320</v>
      </c>
    </row>
    <row r="136" spans="2:7">
      <c r="B136" t="s">
        <v>304</v>
      </c>
      <c r="C136" t="s">
        <v>305</v>
      </c>
      <c r="D136" s="14">
        <f t="shared" ref="D136:E138" si="1">IF($E$9=1,D124,IF($E$9=2,D128,D132))</f>
        <v>61.777519084830061</v>
      </c>
      <c r="E136" s="25">
        <f t="shared" si="1"/>
        <v>56.993469538405307</v>
      </c>
      <c r="F136" t="s">
        <v>87</v>
      </c>
    </row>
    <row r="137" spans="2:7">
      <c r="B137" t="s">
        <v>303</v>
      </c>
      <c r="C137" t="s">
        <v>306</v>
      </c>
      <c r="D137" s="14">
        <f t="shared" si="1"/>
        <v>4.5915501499080253</v>
      </c>
      <c r="E137" s="25">
        <f t="shared" si="1"/>
        <v>4.2359806201266332</v>
      </c>
      <c r="F137" t="s">
        <v>87</v>
      </c>
    </row>
    <row r="138" spans="2:7" ht="13.5">
      <c r="B138" t="s">
        <v>302</v>
      </c>
      <c r="C138" t="s">
        <v>310</v>
      </c>
      <c r="D138" s="14">
        <f t="shared" si="1"/>
        <v>40.296996547689581</v>
      </c>
      <c r="E138" s="25">
        <f t="shared" si="1"/>
        <v>37.176398134025007</v>
      </c>
      <c r="F138" t="s">
        <v>87</v>
      </c>
    </row>
    <row r="141" spans="2:7">
      <c r="B141" t="s">
        <v>322</v>
      </c>
      <c r="C141" t="s">
        <v>321</v>
      </c>
      <c r="D141" s="14">
        <f>IF(D46&lt;1000,1,IF(D46&gt;2000,1.333,2/3*(1+D46/2000)))</f>
        <v>1</v>
      </c>
      <c r="G141" s="34" t="s">
        <v>323</v>
      </c>
    </row>
    <row r="143" spans="2:7">
      <c r="B143" s="13" t="s">
        <v>337</v>
      </c>
      <c r="F143" s="40"/>
      <c r="G143" s="34"/>
    </row>
    <row r="144" spans="2:7">
      <c r="B144" s="12" t="s">
        <v>327</v>
      </c>
      <c r="D144" s="40" t="str">
        <f>IF($D$113*D136&lt;=1.5*$D$40,"OK","failed")</f>
        <v>OK</v>
      </c>
      <c r="E144" s="40" t="str">
        <f>IF($D$113*E136&lt;=1.5*$D$40,"OK","failed")</f>
        <v>OK</v>
      </c>
      <c r="F144" s="40"/>
      <c r="G144" s="34" t="s">
        <v>324</v>
      </c>
    </row>
    <row r="145" spans="2:7">
      <c r="B145" s="12" t="s">
        <v>328</v>
      </c>
      <c r="D145" s="40" t="str">
        <f>IF($D$113*D137&lt;=$D$40,"OK","failed")</f>
        <v>OK</v>
      </c>
      <c r="E145" s="40" t="str">
        <f>IF($D$113*E137&lt;=$D$40,"OK","failed")</f>
        <v>OK</v>
      </c>
      <c r="F145" s="40"/>
      <c r="G145" s="34" t="s">
        <v>325</v>
      </c>
    </row>
    <row r="146" spans="2:7" ht="13.5">
      <c r="B146" s="12" t="s">
        <v>329</v>
      </c>
      <c r="D146" s="40" t="str">
        <f>IF($D$113*D138&lt;=$D$40,"OK","failed")</f>
        <v>OK</v>
      </c>
      <c r="E146" s="40" t="str">
        <f>IF($D$113*E138&lt;=$D$40,"OK","failed")</f>
        <v>OK</v>
      </c>
      <c r="F146" s="40"/>
      <c r="G146" s="34" t="s">
        <v>326</v>
      </c>
    </row>
    <row r="147" spans="2:7">
      <c r="B147" s="12" t="s">
        <v>331</v>
      </c>
      <c r="D147" s="40" t="str">
        <f>IF(0.5*$D$113*(D136+D137) &lt;=$D$40,"OK","failed")</f>
        <v>OK</v>
      </c>
      <c r="E147" s="40" t="str">
        <f>IF(0.5*$D$113*(E136+E137) &lt;=$D$40,"OK","failed")</f>
        <v>OK</v>
      </c>
      <c r="F147" s="40"/>
      <c r="G147" s="34" t="s">
        <v>332</v>
      </c>
    </row>
    <row r="148" spans="2:7" ht="13.5">
      <c r="B148" s="12" t="s">
        <v>330</v>
      </c>
      <c r="D148" s="40" t="str">
        <f>IF(0.5*$D$113*(D136+D138) &lt;=$D$40,"OK","failed")</f>
        <v>OK</v>
      </c>
      <c r="E148" s="40" t="str">
        <f>IF(0.5*$D$113*(E136+E138) &lt;=$D$40,"OK","failed")</f>
        <v>OK</v>
      </c>
      <c r="G148" s="34" t="s">
        <v>333</v>
      </c>
    </row>
  </sheetData>
  <phoneticPr fontId="7" type="noConversion"/>
  <pageMargins left="0.75" right="0.75" top="1" bottom="1" header="0.5" footer="0.5"/>
  <pageSetup paperSize="9" scale="95" orientation="portrait" horizontalDpi="1200" verticalDpi="1200" r:id="rId1"/>
  <headerFooter alignWithMargins="0"/>
  <rowBreaks count="3" manualBreakCount="3">
    <brk id="36" max="16383" man="1"/>
    <brk id="93" max="6" man="1"/>
    <brk id="121" max="6" man="1"/>
  </rowBreaks>
  <colBreaks count="1" manualBreakCount="1">
    <brk id="7"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7175" r:id="rId4" name="Drop Down 7">
              <controlPr defaultSize="0" autoLine="0" autoPict="0">
                <anchor moveWithCells="1">
                  <from>
                    <xdr:col>1</xdr:col>
                    <xdr:colOff>657225</xdr:colOff>
                    <xdr:row>25</xdr:row>
                    <xdr:rowOff>28575</xdr:rowOff>
                  </from>
                  <to>
                    <xdr:col>4</xdr:col>
                    <xdr:colOff>219075</xdr:colOff>
                    <xdr:row>26</xdr:row>
                    <xdr:rowOff>66675</xdr:rowOff>
                  </to>
                </anchor>
              </controlPr>
            </control>
          </mc:Choice>
        </mc:AlternateContent>
        <mc:AlternateContent xmlns:mc="http://schemas.openxmlformats.org/markup-compatibility/2006">
          <mc:Choice Requires="x14">
            <control shapeId="7180" r:id="rId5" name="Button 12">
              <controlPr defaultSize="0" print="0" autoFill="0" autoPict="0" macro="[0]!berekenfactoren">
                <anchor moveWithCells="1" sizeWithCells="1">
                  <from>
                    <xdr:col>7</xdr:col>
                    <xdr:colOff>66675</xdr:colOff>
                    <xdr:row>84</xdr:row>
                    <xdr:rowOff>142875</xdr:rowOff>
                  </from>
                  <to>
                    <xdr:col>8</xdr:col>
                    <xdr:colOff>581025</xdr:colOff>
                    <xdr:row>86</xdr:row>
                    <xdr:rowOff>95250</xdr:rowOff>
                  </to>
                </anchor>
              </controlPr>
            </control>
          </mc:Choice>
        </mc:AlternateContent>
        <mc:AlternateContent xmlns:mc="http://schemas.openxmlformats.org/markup-compatibility/2006">
          <mc:Choice Requires="x14">
            <control shapeId="7183" r:id="rId6" name="Drop Down 15">
              <controlPr defaultSize="0" autoLine="0" autoPict="0">
                <anchor moveWithCells="1">
                  <from>
                    <xdr:col>2</xdr:col>
                    <xdr:colOff>561975</xdr:colOff>
                    <xdr:row>8</xdr:row>
                    <xdr:rowOff>0</xdr:rowOff>
                  </from>
                  <to>
                    <xdr:col>3</xdr:col>
                    <xdr:colOff>847725</xdr:colOff>
                    <xdr:row>9</xdr:row>
                    <xdr:rowOff>0</xdr:rowOff>
                  </to>
                </anchor>
              </controlPr>
            </control>
          </mc:Choice>
        </mc:AlternateContent>
        <mc:AlternateContent xmlns:mc="http://schemas.openxmlformats.org/markup-compatibility/2006">
          <mc:Choice Requires="x14">
            <control shapeId="7199" r:id="rId7" name="Drop Down 31">
              <controlPr defaultSize="0" autoLine="0" autoPict="0">
                <anchor moveWithCells="1">
                  <from>
                    <xdr:col>2</xdr:col>
                    <xdr:colOff>600075</xdr:colOff>
                    <xdr:row>28</xdr:row>
                    <xdr:rowOff>0</xdr:rowOff>
                  </from>
                  <to>
                    <xdr:col>4</xdr:col>
                    <xdr:colOff>304800</xdr:colOff>
                    <xdr:row>28</xdr:row>
                    <xdr:rowOff>200025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R175"/>
  <sheetViews>
    <sheetView showGridLines="0" topLeftCell="A18" zoomScaleNormal="100" workbookViewId="0">
      <selection activeCell="N28" sqref="N28"/>
    </sheetView>
  </sheetViews>
  <sheetFormatPr defaultColWidth="7.85546875" defaultRowHeight="12.75" customHeight="1"/>
  <cols>
    <col min="1" max="4" width="11" style="83" customWidth="1"/>
    <col min="5" max="5" width="15.7109375" style="83" customWidth="1"/>
    <col min="6" max="7" width="11" style="83" customWidth="1"/>
    <col min="8" max="8" width="7.85546875" style="83" customWidth="1"/>
    <col min="9" max="9" width="13.5703125" style="83" customWidth="1"/>
    <col min="10" max="10" width="15.28515625" style="83" customWidth="1"/>
    <col min="11" max="16" width="7.85546875" style="83" customWidth="1"/>
    <col min="17" max="17" width="14" style="83" customWidth="1"/>
    <col min="18" max="16384" width="7.85546875" style="83"/>
  </cols>
  <sheetData>
    <row r="1" spans="1:12" ht="12.75" customHeight="1">
      <c r="A1" s="80" t="s">
        <v>529</v>
      </c>
      <c r="B1" s="81"/>
      <c r="C1" s="80" t="s">
        <v>530</v>
      </c>
      <c r="D1" s="82"/>
      <c r="E1" s="82"/>
      <c r="F1" s="82"/>
      <c r="G1" s="81"/>
      <c r="H1" s="80" t="s">
        <v>531</v>
      </c>
      <c r="I1" s="81"/>
    </row>
    <row r="2" spans="1:12" ht="12.75" customHeight="1">
      <c r="A2" s="84" t="s">
        <v>532</v>
      </c>
      <c r="B2" s="85"/>
      <c r="C2" s="84" t="s">
        <v>533</v>
      </c>
      <c r="D2" s="86"/>
      <c r="E2" s="86"/>
      <c r="F2" s="86"/>
      <c r="G2" s="85"/>
      <c r="H2" s="84" t="s">
        <v>534</v>
      </c>
      <c r="I2" s="85"/>
      <c r="J2" s="165" t="s">
        <v>767</v>
      </c>
    </row>
    <row r="3" spans="1:12" ht="12.75" customHeight="1">
      <c r="A3" s="87" t="s">
        <v>535</v>
      </c>
      <c r="B3" s="88"/>
      <c r="C3" s="88"/>
      <c r="D3" s="89" t="s">
        <v>98</v>
      </c>
      <c r="E3" s="386">
        <v>1.1000000000000001</v>
      </c>
      <c r="F3" s="90"/>
      <c r="G3" s="88" t="s">
        <v>536</v>
      </c>
      <c r="H3" s="91"/>
      <c r="I3" s="92"/>
      <c r="K3" s="381" t="s">
        <v>913</v>
      </c>
    </row>
    <row r="4" spans="1:12" ht="12.75" customHeight="1">
      <c r="A4" s="93" t="s">
        <v>537</v>
      </c>
      <c r="B4" s="94"/>
      <c r="C4" s="94"/>
      <c r="D4" s="95" t="s">
        <v>100</v>
      </c>
      <c r="E4" s="387">
        <v>1.79</v>
      </c>
      <c r="F4" s="96"/>
      <c r="G4" s="94" t="s">
        <v>536</v>
      </c>
      <c r="H4" s="94"/>
      <c r="I4" s="97"/>
    </row>
    <row r="5" spans="1:12" ht="12.75" customHeight="1">
      <c r="A5" s="98" t="s">
        <v>538</v>
      </c>
      <c r="B5" s="99"/>
      <c r="C5" s="99"/>
      <c r="D5" s="100" t="s">
        <v>539</v>
      </c>
      <c r="E5" s="388">
        <v>225</v>
      </c>
      <c r="F5" s="101"/>
      <c r="G5" s="99" t="s">
        <v>154</v>
      </c>
      <c r="H5" s="99"/>
      <c r="I5" s="102"/>
    </row>
    <row r="6" spans="1:12" ht="12.75" customHeight="1">
      <c r="A6" s="98" t="s">
        <v>540</v>
      </c>
      <c r="B6" s="99"/>
      <c r="C6" s="99"/>
      <c r="D6" s="100" t="s">
        <v>116</v>
      </c>
      <c r="E6" s="986" t="s">
        <v>1495</v>
      </c>
      <c r="F6" s="101"/>
      <c r="G6" s="99" t="s">
        <v>116</v>
      </c>
      <c r="H6" s="99"/>
      <c r="I6" s="102"/>
      <c r="J6" s="165" t="s">
        <v>911</v>
      </c>
    </row>
    <row r="7" spans="1:12" ht="12.75" customHeight="1">
      <c r="A7" s="98" t="s">
        <v>542</v>
      </c>
      <c r="B7" s="99"/>
      <c r="C7" s="99"/>
      <c r="D7" s="100" t="s">
        <v>149</v>
      </c>
      <c r="E7" s="389">
        <v>410</v>
      </c>
      <c r="F7" s="103"/>
      <c r="G7" s="99" t="s">
        <v>536</v>
      </c>
      <c r="H7" s="99"/>
      <c r="I7" s="102"/>
    </row>
    <row r="8" spans="1:12" ht="12.75" customHeight="1">
      <c r="A8" s="98" t="s">
        <v>543</v>
      </c>
      <c r="B8" s="99"/>
      <c r="C8" s="99"/>
      <c r="D8" s="100" t="s">
        <v>544</v>
      </c>
      <c r="E8" s="389">
        <v>220</v>
      </c>
      <c r="F8" s="103"/>
      <c r="G8" s="99" t="s">
        <v>536</v>
      </c>
      <c r="H8" s="99"/>
      <c r="I8" s="102"/>
      <c r="J8" s="33" t="s">
        <v>249</v>
      </c>
      <c r="K8" s="382" t="s">
        <v>297</v>
      </c>
      <c r="L8" s="33">
        <v>0.3</v>
      </c>
    </row>
    <row r="9" spans="1:12" ht="12.75" customHeight="1">
      <c r="A9" s="98" t="s">
        <v>545</v>
      </c>
      <c r="B9" s="99"/>
      <c r="C9" s="99"/>
      <c r="D9" s="100" t="s">
        <v>546</v>
      </c>
      <c r="E9" s="389">
        <v>160</v>
      </c>
      <c r="F9" s="103"/>
      <c r="G9" s="99" t="s">
        <v>536</v>
      </c>
      <c r="H9" s="104"/>
      <c r="I9" s="102"/>
    </row>
    <row r="10" spans="1:12" ht="12.75" customHeight="1">
      <c r="A10" s="98" t="s">
        <v>547</v>
      </c>
      <c r="B10" s="99"/>
      <c r="C10" s="99"/>
      <c r="D10" s="100" t="s">
        <v>49</v>
      </c>
      <c r="E10" s="388">
        <v>2025</v>
      </c>
      <c r="F10" s="105"/>
      <c r="G10" s="99" t="s">
        <v>104</v>
      </c>
      <c r="H10" s="104"/>
      <c r="I10" s="106"/>
    </row>
    <row r="11" spans="1:12" ht="12.75" customHeight="1">
      <c r="A11" s="98" t="s">
        <v>548</v>
      </c>
      <c r="B11" s="99"/>
      <c r="C11" s="99"/>
      <c r="D11" s="100" t="s">
        <v>549</v>
      </c>
      <c r="E11" s="388">
        <v>1840</v>
      </c>
      <c r="F11" s="105"/>
      <c r="G11" s="99" t="s">
        <v>104</v>
      </c>
      <c r="H11" s="104"/>
      <c r="I11" s="106"/>
    </row>
    <row r="12" spans="1:12" ht="12.75" customHeight="1">
      <c r="A12" s="98" t="s">
        <v>550</v>
      </c>
      <c r="B12" s="99"/>
      <c r="C12" s="99"/>
      <c r="D12" s="100" t="s">
        <v>51</v>
      </c>
      <c r="E12" s="388">
        <v>1966</v>
      </c>
      <c r="F12" s="105"/>
      <c r="G12" s="99" t="s">
        <v>104</v>
      </c>
      <c r="H12" s="104"/>
      <c r="I12" s="106"/>
    </row>
    <row r="13" spans="1:12" ht="12.75" customHeight="1">
      <c r="A13" s="98" t="s">
        <v>551</v>
      </c>
      <c r="B13" s="99"/>
      <c r="C13" s="99"/>
      <c r="D13" s="100" t="s">
        <v>552</v>
      </c>
      <c r="E13" s="388">
        <v>145</v>
      </c>
      <c r="F13" s="105"/>
      <c r="G13" s="99" t="s">
        <v>104</v>
      </c>
      <c r="H13" s="104"/>
      <c r="I13" s="106"/>
    </row>
    <row r="14" spans="1:12" ht="12.75" customHeight="1">
      <c r="A14" s="107" t="s">
        <v>553</v>
      </c>
      <c r="B14" s="108"/>
      <c r="C14" s="108"/>
      <c r="D14" s="109" t="s">
        <v>523</v>
      </c>
      <c r="E14" s="390">
        <v>3</v>
      </c>
      <c r="F14" s="110"/>
      <c r="G14" s="108" t="s">
        <v>104</v>
      </c>
      <c r="H14" s="111"/>
      <c r="I14" s="112"/>
    </row>
    <row r="15" spans="1:12" ht="12.75" customHeight="1">
      <c r="A15" s="113" t="s">
        <v>554</v>
      </c>
      <c r="B15" s="114"/>
      <c r="C15" s="114"/>
      <c r="D15" s="115"/>
      <c r="E15" s="116"/>
      <c r="F15" s="117"/>
      <c r="G15" s="114"/>
      <c r="H15" s="117"/>
      <c r="I15" s="118"/>
    </row>
    <row r="16" spans="1:12" ht="12.75" customHeight="1">
      <c r="A16" s="119" t="s">
        <v>555</v>
      </c>
      <c r="B16" s="120"/>
      <c r="C16" s="120"/>
      <c r="D16" s="121" t="s">
        <v>556</v>
      </c>
      <c r="E16" s="391">
        <v>16</v>
      </c>
      <c r="F16" s="122"/>
      <c r="G16" s="120" t="s">
        <v>104</v>
      </c>
      <c r="H16" s="123"/>
      <c r="I16" s="124"/>
    </row>
    <row r="17" spans="1:12" ht="12.75" customHeight="1">
      <c r="A17" s="98" t="s">
        <v>557</v>
      </c>
      <c r="B17" s="99"/>
      <c r="C17" s="99"/>
      <c r="D17" s="100" t="s">
        <v>558</v>
      </c>
      <c r="E17" s="388">
        <v>25</v>
      </c>
      <c r="F17" s="105"/>
      <c r="G17" s="99" t="s">
        <v>104</v>
      </c>
      <c r="H17" s="104" t="s">
        <v>559</v>
      </c>
      <c r="I17" s="106"/>
    </row>
    <row r="18" spans="1:12" ht="12.75" customHeight="1">
      <c r="A18" s="98" t="s">
        <v>560</v>
      </c>
      <c r="B18" s="99"/>
      <c r="C18" s="99"/>
      <c r="D18" s="100" t="s">
        <v>218</v>
      </c>
      <c r="E18" s="388">
        <v>50</v>
      </c>
      <c r="F18" s="105"/>
      <c r="G18" s="99" t="s">
        <v>104</v>
      </c>
      <c r="H18" s="104" t="s">
        <v>561</v>
      </c>
      <c r="I18" s="106"/>
    </row>
    <row r="19" spans="1:12" ht="12.75" customHeight="1">
      <c r="A19" s="87" t="s">
        <v>562</v>
      </c>
      <c r="B19" s="88"/>
      <c r="C19" s="88"/>
      <c r="D19" s="89" t="s">
        <v>116</v>
      </c>
      <c r="E19" s="987" t="s">
        <v>522</v>
      </c>
      <c r="F19" s="125"/>
      <c r="G19" s="88" t="s">
        <v>116</v>
      </c>
      <c r="H19" s="91"/>
      <c r="I19" s="126"/>
    </row>
    <row r="20" spans="1:12" ht="12.75" customHeight="1">
      <c r="A20" s="98" t="s">
        <v>542</v>
      </c>
      <c r="B20" s="99"/>
      <c r="C20" s="99"/>
      <c r="D20" s="100" t="s">
        <v>149</v>
      </c>
      <c r="E20" s="389">
        <v>860</v>
      </c>
      <c r="F20" s="103"/>
      <c r="G20" s="99" t="s">
        <v>536</v>
      </c>
      <c r="H20" s="99"/>
      <c r="I20" s="102"/>
    </row>
    <row r="21" spans="1:12" ht="12.75" customHeight="1">
      <c r="A21" s="98" t="s">
        <v>564</v>
      </c>
      <c r="B21" s="99"/>
      <c r="C21" s="99"/>
      <c r="D21" s="100" t="s">
        <v>565</v>
      </c>
      <c r="E21" s="389">
        <v>0</v>
      </c>
      <c r="F21" s="103"/>
      <c r="G21" s="99" t="s">
        <v>536</v>
      </c>
      <c r="H21" s="104" t="s">
        <v>566</v>
      </c>
      <c r="I21" s="102"/>
    </row>
    <row r="22" spans="1:12" ht="12.75" customHeight="1">
      <c r="A22" s="98" t="s">
        <v>543</v>
      </c>
      <c r="B22" s="99"/>
      <c r="C22" s="99"/>
      <c r="D22" s="100" t="s">
        <v>544</v>
      </c>
      <c r="E22" s="389">
        <v>725</v>
      </c>
      <c r="F22" s="103"/>
      <c r="G22" s="99" t="s">
        <v>536</v>
      </c>
      <c r="H22" s="99"/>
      <c r="I22" s="102"/>
    </row>
    <row r="23" spans="1:12" ht="12.75" customHeight="1">
      <c r="A23" s="98" t="s">
        <v>545</v>
      </c>
      <c r="B23" s="99"/>
      <c r="C23" s="99"/>
      <c r="D23" s="100" t="s">
        <v>546</v>
      </c>
      <c r="E23" s="389">
        <v>435.5</v>
      </c>
      <c r="F23" s="103"/>
      <c r="G23" s="99" t="s">
        <v>536</v>
      </c>
      <c r="H23" s="104"/>
      <c r="I23" s="102"/>
    </row>
    <row r="24" spans="1:12" ht="12.75" customHeight="1">
      <c r="A24" s="98" t="s">
        <v>567</v>
      </c>
      <c r="B24" s="99"/>
      <c r="C24" s="99"/>
      <c r="D24" s="100" t="s">
        <v>125</v>
      </c>
      <c r="E24" s="393">
        <v>80</v>
      </c>
      <c r="F24" s="105"/>
      <c r="G24" s="99" t="s">
        <v>116</v>
      </c>
      <c r="H24" s="104" t="s">
        <v>568</v>
      </c>
      <c r="I24" s="106"/>
    </row>
    <row r="25" spans="1:12" ht="16.5" customHeight="1">
      <c r="A25" s="93" t="s">
        <v>789</v>
      </c>
      <c r="B25" s="99"/>
      <c r="C25" s="99"/>
      <c r="D25" s="394"/>
      <c r="E25" s="393"/>
      <c r="F25" s="395"/>
      <c r="G25" s="99"/>
      <c r="H25" s="104"/>
      <c r="I25" s="398">
        <v>29</v>
      </c>
    </row>
    <row r="26" spans="1:12" ht="15" customHeight="1">
      <c r="A26" s="93" t="s">
        <v>912</v>
      </c>
      <c r="B26" s="99"/>
      <c r="C26" s="99"/>
      <c r="D26" s="100" t="s">
        <v>512</v>
      </c>
      <c r="E26" s="380">
        <f>VLOOKUP($I$25,boltdimension,4)</f>
        <v>24</v>
      </c>
      <c r="F26" s="105"/>
      <c r="G26" s="99" t="s">
        <v>104</v>
      </c>
      <c r="H26" s="104"/>
      <c r="I26" s="373"/>
      <c r="J26" s="165" t="s">
        <v>909</v>
      </c>
    </row>
    <row r="27" spans="1:12" ht="12.75" customHeight="1" thickBot="1">
      <c r="A27" s="107" t="s">
        <v>569</v>
      </c>
      <c r="B27" s="108"/>
      <c r="C27" s="108"/>
      <c r="D27" s="109" t="s">
        <v>570</v>
      </c>
      <c r="E27" s="374">
        <f>VLOOKUP($I$25,boltdimension,10)</f>
        <v>324.26086882643619</v>
      </c>
      <c r="F27" s="110"/>
      <c r="G27" s="108" t="s">
        <v>571</v>
      </c>
      <c r="H27" s="111"/>
      <c r="I27" s="112"/>
      <c r="K27" s="989" t="s">
        <v>1512</v>
      </c>
      <c r="L27" s="374">
        <f>VLOOKUP($I$25,boltdimension,25)</f>
        <v>312.74799999999999</v>
      </c>
    </row>
    <row r="28" spans="1:12" ht="12.75" customHeight="1">
      <c r="A28" s="113" t="s">
        <v>572</v>
      </c>
      <c r="B28" s="114"/>
      <c r="C28" s="114"/>
      <c r="D28" s="115"/>
      <c r="E28" s="116"/>
      <c r="F28" s="117"/>
      <c r="G28" s="114"/>
      <c r="H28" s="117"/>
      <c r="I28" s="118"/>
    </row>
    <row r="29" spans="1:12" ht="12.75" customHeight="1">
      <c r="A29" s="119" t="s">
        <v>573</v>
      </c>
      <c r="B29" s="120"/>
      <c r="C29" s="120"/>
      <c r="D29" s="121" t="s">
        <v>574</v>
      </c>
      <c r="E29" s="396">
        <v>0</v>
      </c>
      <c r="F29" s="122"/>
      <c r="G29" s="120" t="s">
        <v>91</v>
      </c>
      <c r="H29" s="123"/>
      <c r="I29" s="124"/>
    </row>
    <row r="30" spans="1:12" ht="12.75" customHeight="1">
      <c r="A30" s="107" t="s">
        <v>575</v>
      </c>
      <c r="B30" s="108"/>
      <c r="C30" s="108"/>
      <c r="D30" s="109" t="s">
        <v>576</v>
      </c>
      <c r="E30" s="397">
        <v>0</v>
      </c>
      <c r="F30" s="110"/>
      <c r="G30" s="108" t="s">
        <v>91</v>
      </c>
      <c r="H30" s="111"/>
      <c r="I30" s="112"/>
    </row>
    <row r="31" spans="1:12" ht="19.5" customHeight="1">
      <c r="A31" s="87" t="s">
        <v>341</v>
      </c>
      <c r="B31" s="88"/>
      <c r="C31" s="88"/>
      <c r="D31" s="89" t="s">
        <v>116</v>
      </c>
      <c r="E31" s="392"/>
      <c r="F31" s="125"/>
      <c r="G31" s="88"/>
      <c r="H31" s="91"/>
      <c r="I31" s="399">
        <v>55</v>
      </c>
      <c r="J31" s="165" t="s">
        <v>910</v>
      </c>
    </row>
    <row r="32" spans="1:12" ht="12.75" customHeight="1">
      <c r="A32" s="98" t="s">
        <v>577</v>
      </c>
      <c r="B32" s="99"/>
      <c r="C32" s="99"/>
      <c r="D32" s="100" t="s">
        <v>116</v>
      </c>
      <c r="E32" s="388" t="s">
        <v>578</v>
      </c>
      <c r="F32" s="127"/>
      <c r="G32" s="99"/>
      <c r="H32" s="104" t="s">
        <v>579</v>
      </c>
      <c r="I32" s="106"/>
    </row>
    <row r="33" spans="1:9" ht="12.75" customHeight="1">
      <c r="A33" s="98" t="s">
        <v>580</v>
      </c>
      <c r="B33" s="99"/>
      <c r="C33" s="99"/>
      <c r="D33" s="100" t="s">
        <v>581</v>
      </c>
      <c r="E33" s="388">
        <v>1930</v>
      </c>
      <c r="F33" s="105"/>
      <c r="G33" s="99" t="s">
        <v>104</v>
      </c>
      <c r="H33" s="104" t="s">
        <v>582</v>
      </c>
      <c r="I33" s="106"/>
    </row>
    <row r="34" spans="1:9" ht="12.75" customHeight="1">
      <c r="A34" s="98" t="s">
        <v>583</v>
      </c>
      <c r="B34" s="99"/>
      <c r="C34" s="99"/>
      <c r="D34" s="100" t="s">
        <v>94</v>
      </c>
      <c r="E34" s="388">
        <v>25.4</v>
      </c>
      <c r="F34" s="105"/>
      <c r="G34" s="99" t="s">
        <v>104</v>
      </c>
      <c r="H34" s="104" t="s">
        <v>584</v>
      </c>
      <c r="I34" s="106"/>
    </row>
    <row r="35" spans="1:9" ht="12.75" customHeight="1">
      <c r="A35" s="98" t="s">
        <v>585</v>
      </c>
      <c r="B35" s="99"/>
      <c r="C35" s="99"/>
      <c r="D35" s="100" t="s">
        <v>85</v>
      </c>
      <c r="E35" s="189">
        <f>VLOOKUP($I$31,'gasket factors'!$B$8:$E$64,4)</f>
        <v>22</v>
      </c>
      <c r="F35" s="105"/>
      <c r="G35" s="99" t="s">
        <v>536</v>
      </c>
      <c r="H35" s="104"/>
      <c r="I35" s="106"/>
    </row>
    <row r="36" spans="1:9" ht="12.75" customHeight="1">
      <c r="A36" s="98" t="s">
        <v>586</v>
      </c>
      <c r="B36" s="99"/>
      <c r="C36" s="99"/>
      <c r="D36" s="100" t="s">
        <v>84</v>
      </c>
      <c r="E36" s="185">
        <f>VLOOKUP($I$31,'gasket factors'!$B$8:$E$64,3)</f>
        <v>2</v>
      </c>
      <c r="F36" s="105"/>
      <c r="G36" s="99" t="s">
        <v>116</v>
      </c>
      <c r="H36" s="104"/>
      <c r="I36" s="106"/>
    </row>
    <row r="37" spans="1:9" ht="12.75" customHeight="1" thickBot="1">
      <c r="A37" s="107" t="s">
        <v>587</v>
      </c>
      <c r="B37" s="108"/>
      <c r="C37" s="108"/>
      <c r="D37" s="109" t="s">
        <v>588</v>
      </c>
      <c r="E37" s="390">
        <v>1</v>
      </c>
      <c r="F37" s="110" t="s">
        <v>589</v>
      </c>
      <c r="G37" s="111"/>
      <c r="H37" s="111"/>
      <c r="I37" s="112"/>
    </row>
    <row r="38" spans="1:9" ht="12.75" customHeight="1">
      <c r="A38" s="128"/>
      <c r="B38" s="129"/>
      <c r="C38" s="129"/>
      <c r="D38" s="130"/>
      <c r="E38" s="131"/>
      <c r="F38" s="132"/>
      <c r="G38" s="132"/>
      <c r="H38" s="132"/>
      <c r="I38" s="133"/>
    </row>
    <row r="39" spans="1:9" ht="12.75" customHeight="1">
      <c r="A39" s="128"/>
      <c r="B39" s="129"/>
      <c r="C39" s="129"/>
      <c r="D39" s="130"/>
      <c r="E39" s="131"/>
      <c r="F39" s="132"/>
      <c r="G39" s="132"/>
      <c r="H39" s="132"/>
      <c r="I39" s="133"/>
    </row>
    <row r="40" spans="1:9" ht="12.75" customHeight="1">
      <c r="A40" s="128"/>
      <c r="B40" s="129"/>
      <c r="C40" s="129"/>
      <c r="D40" s="130"/>
      <c r="E40" s="131"/>
      <c r="F40" s="132"/>
      <c r="G40" s="132"/>
      <c r="H40" s="132"/>
      <c r="I40" s="133"/>
    </row>
    <row r="41" spans="1:9" ht="12.75" customHeight="1">
      <c r="A41" s="128"/>
      <c r="B41" s="129"/>
      <c r="C41" s="129"/>
      <c r="D41" s="130"/>
      <c r="E41" s="131"/>
      <c r="F41" s="132"/>
      <c r="G41" s="132"/>
      <c r="H41" s="132"/>
      <c r="I41" s="133"/>
    </row>
    <row r="42" spans="1:9" ht="12.75" customHeight="1">
      <c r="A42" s="128"/>
      <c r="B42" s="129"/>
      <c r="C42" s="129"/>
      <c r="D42" s="130"/>
      <c r="E42" s="131"/>
      <c r="F42" s="132"/>
      <c r="G42" s="132"/>
      <c r="H42" s="132"/>
      <c r="I42" s="133"/>
    </row>
    <row r="43" spans="1:9" ht="12.75" customHeight="1">
      <c r="A43" s="128"/>
      <c r="B43" s="129"/>
      <c r="C43" s="129"/>
      <c r="D43" s="130"/>
      <c r="E43" s="131"/>
      <c r="F43" s="132"/>
      <c r="G43" s="132"/>
      <c r="H43" s="132"/>
      <c r="I43" s="133"/>
    </row>
    <row r="44" spans="1:9" ht="12.75" customHeight="1">
      <c r="A44" s="128"/>
      <c r="B44" s="129"/>
      <c r="C44" s="129"/>
      <c r="D44" s="130"/>
      <c r="E44" s="131"/>
      <c r="F44" s="132"/>
      <c r="G44" s="132"/>
      <c r="H44" s="132"/>
      <c r="I44" s="133"/>
    </row>
    <row r="45" spans="1:9" ht="12.75" customHeight="1">
      <c r="A45" s="128"/>
      <c r="B45" s="129"/>
      <c r="C45" s="129"/>
      <c r="D45" s="130"/>
      <c r="E45" s="131"/>
      <c r="F45" s="132"/>
      <c r="G45" s="132"/>
      <c r="H45" s="132"/>
      <c r="I45" s="133"/>
    </row>
    <row r="46" spans="1:9" ht="12.75" customHeight="1">
      <c r="A46" s="128"/>
      <c r="B46" s="129"/>
      <c r="C46" s="129"/>
      <c r="D46" s="130"/>
      <c r="E46" s="131"/>
      <c r="F46" s="132"/>
      <c r="G46" s="132"/>
      <c r="H46" s="132"/>
      <c r="I46" s="133"/>
    </row>
    <row r="47" spans="1:9" ht="12.75" customHeight="1">
      <c r="A47" s="128"/>
      <c r="B47" s="129"/>
      <c r="C47" s="129"/>
      <c r="D47" s="130"/>
      <c r="E47" s="131"/>
      <c r="F47" s="132"/>
      <c r="G47" s="132"/>
      <c r="H47" s="132"/>
      <c r="I47" s="133"/>
    </row>
    <row r="48" spans="1:9" ht="12.75" customHeight="1">
      <c r="A48" s="128"/>
      <c r="B48" s="129"/>
      <c r="C48" s="129"/>
      <c r="D48" s="130"/>
      <c r="E48" s="131"/>
      <c r="F48" s="132"/>
      <c r="G48" s="132"/>
      <c r="H48" s="132"/>
      <c r="I48" s="133"/>
    </row>
    <row r="49" spans="1:10" ht="12.75" customHeight="1">
      <c r="A49" s="128"/>
      <c r="B49" s="129"/>
      <c r="C49" s="129"/>
      <c r="D49" s="130"/>
      <c r="E49" s="131"/>
      <c r="F49" s="132"/>
      <c r="G49" s="132"/>
      <c r="H49" s="132"/>
      <c r="I49" s="133"/>
    </row>
    <row r="50" spans="1:10" ht="12.75" customHeight="1">
      <c r="A50" s="128"/>
      <c r="B50" s="129"/>
      <c r="C50" s="129"/>
      <c r="D50" s="130"/>
      <c r="E50" s="131"/>
      <c r="F50" s="132"/>
      <c r="G50" s="132"/>
      <c r="H50" s="132"/>
      <c r="I50" s="133"/>
    </row>
    <row r="51" spans="1:10" ht="12.75" customHeight="1">
      <c r="A51" s="128"/>
      <c r="B51" s="129"/>
      <c r="C51" s="129"/>
      <c r="D51" s="130"/>
      <c r="E51" s="131"/>
      <c r="F51" s="132"/>
      <c r="G51" s="132"/>
      <c r="H51" s="132"/>
      <c r="I51" s="133"/>
    </row>
    <row r="52" spans="1:10" ht="12.75" customHeight="1">
      <c r="A52" s="128"/>
      <c r="B52" s="129"/>
      <c r="C52" s="129"/>
      <c r="D52" s="130"/>
      <c r="E52" s="131"/>
      <c r="F52" s="132"/>
      <c r="G52" s="132"/>
      <c r="H52" s="132"/>
      <c r="I52" s="133"/>
    </row>
    <row r="53" spans="1:10" ht="12.75" customHeight="1">
      <c r="A53" s="128"/>
      <c r="B53" s="129"/>
      <c r="C53" s="129"/>
      <c r="D53" s="130"/>
      <c r="E53" s="131"/>
      <c r="F53" s="132"/>
      <c r="G53" s="132"/>
      <c r="H53" s="132"/>
      <c r="I53" s="133"/>
    </row>
    <row r="54" spans="1:10" ht="12.75" customHeight="1">
      <c r="A54" s="128"/>
      <c r="B54" s="129"/>
      <c r="C54" s="129"/>
      <c r="D54" s="130"/>
      <c r="E54" s="134"/>
      <c r="F54" s="132"/>
      <c r="G54" s="132"/>
      <c r="H54" s="132"/>
      <c r="I54" s="133"/>
    </row>
    <row r="55" spans="1:10" ht="12.75" customHeight="1">
      <c r="A55" s="135" t="s">
        <v>590</v>
      </c>
      <c r="B55" s="136" t="s">
        <v>591</v>
      </c>
      <c r="C55" s="137"/>
      <c r="D55" s="137"/>
      <c r="E55" s="137"/>
      <c r="F55" s="138" t="s">
        <v>592</v>
      </c>
      <c r="G55" s="139" t="s">
        <v>593</v>
      </c>
      <c r="H55" s="137"/>
      <c r="I55" s="140"/>
    </row>
    <row r="56" spans="1:10" ht="12.75" customHeight="1">
      <c r="A56" s="141" t="s">
        <v>594</v>
      </c>
      <c r="B56" s="142" t="s">
        <v>595</v>
      </c>
      <c r="C56" s="143"/>
      <c r="D56" s="143"/>
      <c r="E56" s="143"/>
      <c r="F56" s="144" t="s">
        <v>596</v>
      </c>
      <c r="G56" s="145" t="s">
        <v>597</v>
      </c>
      <c r="H56" s="143"/>
      <c r="I56" s="146"/>
    </row>
    <row r="57" spans="1:10" ht="12.75" customHeight="1">
      <c r="A57" s="141" t="s">
        <v>598</v>
      </c>
      <c r="B57" s="142" t="s">
        <v>599</v>
      </c>
      <c r="C57" s="143"/>
      <c r="D57" s="143"/>
      <c r="E57" s="143"/>
      <c r="F57" s="144" t="s">
        <v>600</v>
      </c>
      <c r="G57" s="145" t="s">
        <v>601</v>
      </c>
      <c r="H57" s="143"/>
      <c r="I57" s="146"/>
    </row>
    <row r="58" spans="1:10" ht="12.75" customHeight="1" thickBot="1">
      <c r="A58" s="147" t="s">
        <v>602</v>
      </c>
      <c r="B58" s="148" t="s">
        <v>603</v>
      </c>
      <c r="C58" s="149"/>
      <c r="D58" s="149"/>
      <c r="E58" s="149"/>
      <c r="F58" s="150" t="s">
        <v>604</v>
      </c>
      <c r="G58" s="151">
        <v>0</v>
      </c>
      <c r="H58" s="1015">
        <v>41582</v>
      </c>
      <c r="I58" s="1016"/>
      <c r="J58" s="152"/>
    </row>
    <row r="59" spans="1:10" ht="12.75" customHeight="1" thickBot="1">
      <c r="A59" s="153" t="s">
        <v>605</v>
      </c>
      <c r="B59" s="1013">
        <f ca="1">NOW()</f>
        <v>42277.628329629631</v>
      </c>
      <c r="C59" s="1014"/>
      <c r="D59" s="154" t="s">
        <v>606</v>
      </c>
      <c r="E59" s="155"/>
      <c r="F59" s="154" t="s">
        <v>607</v>
      </c>
      <c r="G59" s="156" t="s">
        <v>608</v>
      </c>
      <c r="H59" s="157" t="s">
        <v>609</v>
      </c>
      <c r="I59" s="158">
        <v>1</v>
      </c>
    </row>
    <row r="60" spans="1:10" ht="12.75" customHeight="1">
      <c r="A60" s="80" t="str">
        <f>A1</f>
        <v>EN 13445</v>
      </c>
      <c r="B60" s="81"/>
      <c r="C60" s="80" t="str">
        <f>C1</f>
        <v>Unfired pressure vessels</v>
      </c>
      <c r="D60" s="82"/>
      <c r="E60" s="82"/>
      <c r="F60" s="82"/>
      <c r="G60" s="81"/>
      <c r="H60" s="80" t="str">
        <f>H1</f>
        <v>Clause 11</v>
      </c>
      <c r="I60" s="81"/>
    </row>
    <row r="61" spans="1:10" ht="12.75" customHeight="1">
      <c r="A61" s="84" t="str">
        <f>A2</f>
        <v>2009 (E)</v>
      </c>
      <c r="B61" s="85"/>
      <c r="C61" s="84" t="str">
        <f>C2</f>
        <v>Integral flange with hub (integral method)</v>
      </c>
      <c r="D61" s="86"/>
      <c r="E61" s="86"/>
      <c r="F61" s="86"/>
      <c r="G61" s="85"/>
      <c r="H61" s="84" t="str">
        <f>H2</f>
        <v>Issue 3 (2011-07)</v>
      </c>
      <c r="I61" s="85"/>
      <c r="J61" s="165" t="s">
        <v>767</v>
      </c>
    </row>
    <row r="62" spans="1:10" ht="12.75" customHeight="1">
      <c r="A62" s="113" t="s">
        <v>610</v>
      </c>
      <c r="B62" s="114"/>
      <c r="C62" s="114"/>
      <c r="D62" s="115"/>
      <c r="E62" s="159"/>
      <c r="F62" s="117" t="s">
        <v>611</v>
      </c>
      <c r="G62" s="114"/>
      <c r="H62" s="117"/>
      <c r="I62" s="118"/>
    </row>
    <row r="63" spans="1:10" ht="12.75" customHeight="1">
      <c r="A63" s="93" t="s">
        <v>612</v>
      </c>
      <c r="B63" s="94"/>
      <c r="C63" s="94"/>
      <c r="D63" s="160" t="s">
        <v>613</v>
      </c>
      <c r="E63" s="183">
        <f>MIN($E$9/1.5,$E$7/2.4)</f>
        <v>106.66666666666667</v>
      </c>
      <c r="F63" s="162"/>
      <c r="G63" s="94" t="s">
        <v>536</v>
      </c>
      <c r="H63" s="162" t="s">
        <v>614</v>
      </c>
      <c r="I63" s="163"/>
      <c r="J63" s="165" t="s">
        <v>766</v>
      </c>
    </row>
    <row r="64" spans="1:10" ht="12.75" customHeight="1">
      <c r="A64" s="98" t="s">
        <v>615</v>
      </c>
      <c r="B64" s="99"/>
      <c r="C64" s="99"/>
      <c r="D64" s="100" t="s">
        <v>616</v>
      </c>
      <c r="E64" s="184">
        <f>MIN($E$8/1.5,$E$7/2.4)</f>
        <v>146.66666666666666</v>
      </c>
      <c r="F64" s="105"/>
      <c r="G64" s="99" t="s">
        <v>536</v>
      </c>
      <c r="H64" s="104" t="s">
        <v>617</v>
      </c>
      <c r="I64" s="106"/>
    </row>
    <row r="65" spans="1:18" ht="12.75" customHeight="1">
      <c r="A65" s="98" t="s">
        <v>618</v>
      </c>
      <c r="B65" s="99"/>
      <c r="C65" s="99"/>
      <c r="D65" s="100" t="s">
        <v>619</v>
      </c>
      <c r="E65" s="185">
        <f>E8/1.05</f>
        <v>209.52380952380952</v>
      </c>
      <c r="F65" s="105"/>
      <c r="G65" s="99" t="s">
        <v>536</v>
      </c>
      <c r="H65" s="104" t="s">
        <v>620</v>
      </c>
      <c r="I65" s="106"/>
      <c r="J65" s="165" t="s">
        <v>765</v>
      </c>
    </row>
    <row r="66" spans="1:18" ht="12.75" customHeight="1">
      <c r="A66" s="98" t="s">
        <v>612</v>
      </c>
      <c r="B66" s="99"/>
      <c r="C66" s="99"/>
      <c r="D66" s="100" t="s">
        <v>621</v>
      </c>
      <c r="E66" s="184">
        <f>MIN($E$23/1.5,$E$20/2.4)</f>
        <v>290.33333333333331</v>
      </c>
      <c r="F66" s="105"/>
      <c r="G66" s="99" t="s">
        <v>536</v>
      </c>
      <c r="H66" s="104" t="s">
        <v>614</v>
      </c>
      <c r="I66" s="106"/>
    </row>
    <row r="67" spans="1:18" ht="12.75" customHeight="1">
      <c r="A67" s="98" t="s">
        <v>615</v>
      </c>
      <c r="B67" s="99"/>
      <c r="C67" s="99"/>
      <c r="D67" s="100" t="s">
        <v>622</v>
      </c>
      <c r="E67" s="184">
        <f>MIN($E$22/1.5,$E$20/2.4)</f>
        <v>358.33333333333337</v>
      </c>
      <c r="F67" s="105"/>
      <c r="G67" s="99" t="s">
        <v>536</v>
      </c>
      <c r="H67" s="104" t="s">
        <v>620</v>
      </c>
      <c r="I67" s="106"/>
    </row>
    <row r="68" spans="1:18" ht="12.75" customHeight="1">
      <c r="A68" s="98" t="s">
        <v>623</v>
      </c>
      <c r="B68" s="99"/>
      <c r="C68" s="99"/>
      <c r="D68" s="100" t="s">
        <v>624</v>
      </c>
      <c r="E68" s="185">
        <f>MIN($E$23/3,$E$20/4)</f>
        <v>145.16666666666666</v>
      </c>
      <c r="F68" s="105"/>
      <c r="G68" s="99" t="s">
        <v>536</v>
      </c>
      <c r="H68" s="104" t="s">
        <v>614</v>
      </c>
      <c r="I68" s="106"/>
      <c r="J68" s="165" t="s">
        <v>768</v>
      </c>
    </row>
    <row r="69" spans="1:18" ht="12.75" customHeight="1">
      <c r="A69" s="98" t="s">
        <v>625</v>
      </c>
      <c r="B69" s="99"/>
      <c r="C69" s="99"/>
      <c r="D69" s="100" t="s">
        <v>626</v>
      </c>
      <c r="E69" s="185">
        <f>MIN($E$22/3,$E$20/4)</f>
        <v>215</v>
      </c>
      <c r="F69" s="105"/>
      <c r="G69" s="99" t="s">
        <v>536</v>
      </c>
      <c r="H69" s="104" t="s">
        <v>617</v>
      </c>
      <c r="I69" s="106"/>
    </row>
    <row r="70" spans="1:18" ht="12.75" customHeight="1">
      <c r="A70" s="107" t="s">
        <v>627</v>
      </c>
      <c r="B70" s="108"/>
      <c r="C70" s="108"/>
      <c r="D70" s="109" t="s">
        <v>628</v>
      </c>
      <c r="E70" s="186">
        <f>1.5*E69</f>
        <v>322.5</v>
      </c>
      <c r="F70" s="110"/>
      <c r="G70" s="108" t="s">
        <v>536</v>
      </c>
      <c r="H70" s="111" t="s">
        <v>620</v>
      </c>
      <c r="I70" s="112"/>
    </row>
    <row r="71" spans="1:18" ht="12.75" customHeight="1">
      <c r="A71" s="113" t="s">
        <v>629</v>
      </c>
      <c r="B71" s="114"/>
      <c r="C71" s="114"/>
      <c r="D71" s="115"/>
      <c r="E71" s="159"/>
      <c r="F71" s="117"/>
      <c r="G71" s="114"/>
      <c r="H71" s="117"/>
      <c r="I71" s="118"/>
    </row>
    <row r="72" spans="1:18" ht="12.75" customHeight="1">
      <c r="A72" s="93" t="s">
        <v>630</v>
      </c>
      <c r="B72" s="94"/>
      <c r="C72" s="94"/>
      <c r="D72" s="160" t="s">
        <v>631</v>
      </c>
      <c r="E72" s="187">
        <f>MAX(1.25*E64/E63,1.43)*E3</f>
        <v>1.890625</v>
      </c>
      <c r="F72" s="162"/>
      <c r="G72" s="94" t="s">
        <v>536</v>
      </c>
      <c r="H72" s="162" t="s">
        <v>632</v>
      </c>
      <c r="I72" s="163"/>
    </row>
    <row r="73" spans="1:18" ht="12.75" customHeight="1">
      <c r="A73" s="113" t="s">
        <v>633</v>
      </c>
      <c r="B73" s="114"/>
      <c r="C73" s="114"/>
      <c r="D73" s="115"/>
      <c r="E73" s="159"/>
      <c r="F73" s="117"/>
      <c r="G73" s="114"/>
      <c r="H73" s="117"/>
      <c r="I73" s="118"/>
    </row>
    <row r="74" spans="1:18" ht="12.75" customHeight="1">
      <c r="A74" s="93" t="s">
        <v>634</v>
      </c>
      <c r="B74" s="94"/>
      <c r="C74" s="94"/>
      <c r="D74" s="160" t="s">
        <v>635</v>
      </c>
      <c r="E74" s="188">
        <f>IF(OR($I$31=39,$I$31=40,$I$31=41),$E$34/8,$E$34/2)</f>
        <v>12.7</v>
      </c>
      <c r="F74" s="162"/>
      <c r="G74" s="94" t="s">
        <v>104</v>
      </c>
      <c r="H74" s="162" t="s">
        <v>636</v>
      </c>
      <c r="I74" s="163"/>
    </row>
    <row r="75" spans="1:18" ht="12.75" customHeight="1">
      <c r="A75" s="93" t="s">
        <v>637</v>
      </c>
      <c r="B75" s="94"/>
      <c r="C75" s="94"/>
      <c r="D75" s="160" t="s">
        <v>638</v>
      </c>
      <c r="E75" s="188">
        <f>IF(E74&lt;=6.3,E74,2.52*SQRT(E74))</f>
        <v>8.9805389593275535</v>
      </c>
      <c r="F75" s="162"/>
      <c r="G75" s="94" t="s">
        <v>104</v>
      </c>
      <c r="H75" s="162" t="s">
        <v>639</v>
      </c>
      <c r="I75" s="163"/>
    </row>
    <row r="76" spans="1:18" ht="12.75" customHeight="1">
      <c r="A76" s="93" t="s">
        <v>640</v>
      </c>
      <c r="B76" s="94"/>
      <c r="C76" s="94"/>
      <c r="D76" s="160" t="s">
        <v>641</v>
      </c>
      <c r="E76" s="188">
        <f>E33-2*E34</f>
        <v>1879.2</v>
      </c>
      <c r="F76" s="162"/>
      <c r="G76" s="94" t="s">
        <v>104</v>
      </c>
      <c r="H76" s="162"/>
      <c r="I76" s="163"/>
      <c r="P76" s="165" t="s">
        <v>919</v>
      </c>
    </row>
    <row r="77" spans="1:18" ht="12.75" customHeight="1">
      <c r="A77" s="93" t="s">
        <v>642</v>
      </c>
      <c r="B77" s="94"/>
      <c r="C77" s="94"/>
      <c r="D77" s="160" t="s">
        <v>83</v>
      </c>
      <c r="E77" s="188">
        <f>IF(E75&lt;=6.3,(E33+E76)/2,E33-2*E75)</f>
        <v>1912.0389220813449</v>
      </c>
      <c r="F77" s="162"/>
      <c r="G77" s="94" t="s">
        <v>104</v>
      </c>
      <c r="H77" s="162" t="s">
        <v>643</v>
      </c>
      <c r="I77" s="163"/>
      <c r="P77" s="160"/>
      <c r="Q77" s="188"/>
    </row>
    <row r="78" spans="1:18" ht="12.75" customHeight="1">
      <c r="A78" s="93" t="s">
        <v>644</v>
      </c>
      <c r="B78" s="94"/>
      <c r="C78" s="94"/>
      <c r="D78" s="160" t="s">
        <v>50</v>
      </c>
      <c r="E78" s="188">
        <f>$E$11+2*$E$14</f>
        <v>1846</v>
      </c>
      <c r="F78" s="162"/>
      <c r="G78" s="94" t="s">
        <v>104</v>
      </c>
      <c r="H78" s="162"/>
      <c r="I78" s="163"/>
      <c r="P78" s="160" t="s">
        <v>50</v>
      </c>
      <c r="Q78" s="188">
        <f>$E$11</f>
        <v>1840</v>
      </c>
      <c r="R78" s="165" t="s">
        <v>921</v>
      </c>
    </row>
    <row r="79" spans="1:18" ht="12.75" customHeight="1">
      <c r="A79" s="93" t="s">
        <v>645</v>
      </c>
      <c r="B79" s="94"/>
      <c r="C79" s="94"/>
      <c r="D79" s="160" t="s">
        <v>192</v>
      </c>
      <c r="E79" s="188">
        <f>$E$16-$E$14</f>
        <v>13</v>
      </c>
      <c r="F79" s="162"/>
      <c r="G79" s="94" t="s">
        <v>104</v>
      </c>
      <c r="H79" s="162" t="s">
        <v>646</v>
      </c>
      <c r="I79" s="163"/>
      <c r="P79" s="160" t="s">
        <v>192</v>
      </c>
      <c r="Q79" s="188">
        <f>$E$16</f>
        <v>16</v>
      </c>
    </row>
    <row r="80" spans="1:18" ht="12.75" customHeight="1">
      <c r="A80" s="93" t="s">
        <v>647</v>
      </c>
      <c r="B80" s="94"/>
      <c r="C80" s="94"/>
      <c r="D80" s="160" t="s">
        <v>193</v>
      </c>
      <c r="E80" s="188">
        <f>$E$17-$E$14</f>
        <v>22</v>
      </c>
      <c r="F80" s="162"/>
      <c r="G80" s="94" t="s">
        <v>104</v>
      </c>
      <c r="H80" s="162" t="s">
        <v>646</v>
      </c>
      <c r="I80" s="163"/>
      <c r="P80" s="160" t="s">
        <v>193</v>
      </c>
      <c r="Q80" s="188">
        <f>$E$17</f>
        <v>25</v>
      </c>
    </row>
    <row r="81" spans="1:17" ht="12.75" customHeight="1">
      <c r="A81" s="93" t="s">
        <v>648</v>
      </c>
      <c r="B81" s="94"/>
      <c r="C81" s="94"/>
      <c r="D81" s="160" t="s">
        <v>194</v>
      </c>
      <c r="E81" s="188">
        <f>E13</f>
        <v>145</v>
      </c>
      <c r="F81" s="162"/>
      <c r="G81" s="94" t="s">
        <v>104</v>
      </c>
      <c r="H81" s="162"/>
      <c r="I81" s="163"/>
    </row>
    <row r="82" spans="1:17" ht="12.75" customHeight="1" thickBot="1">
      <c r="A82" s="93" t="s">
        <v>769</v>
      </c>
      <c r="B82" s="94"/>
      <c r="C82" s="94"/>
      <c r="D82" s="160" t="s">
        <v>649</v>
      </c>
      <c r="E82" s="188">
        <f>E12*SIN(PI()/E24)</f>
        <v>77.184797782328886</v>
      </c>
      <c r="F82" s="162"/>
      <c r="G82" s="94" t="s">
        <v>104</v>
      </c>
      <c r="H82" s="162" t="s">
        <v>650</v>
      </c>
      <c r="I82" s="163"/>
    </row>
    <row r="83" spans="1:17" ht="12.75" customHeight="1">
      <c r="A83" s="113" t="s">
        <v>651</v>
      </c>
      <c r="B83" s="114"/>
      <c r="C83" s="114"/>
      <c r="D83" s="115"/>
      <c r="E83" s="159"/>
      <c r="F83" s="117"/>
      <c r="G83" s="114"/>
      <c r="H83" s="117"/>
      <c r="I83" s="118"/>
    </row>
    <row r="84" spans="1:17" ht="12.75" customHeight="1">
      <c r="A84" s="93" t="s">
        <v>652</v>
      </c>
      <c r="B84" s="94"/>
      <c r="C84" s="94"/>
      <c r="D84" s="160" t="s">
        <v>88</v>
      </c>
      <c r="E84" s="190">
        <f>PI()/4*($E$77^2*$E$3)</f>
        <v>3158464.6739399456</v>
      </c>
      <c r="F84" s="162"/>
      <c r="G84" s="94" t="s">
        <v>91</v>
      </c>
      <c r="H84" s="162" t="s">
        <v>167</v>
      </c>
      <c r="I84" s="163"/>
      <c r="J84" s="165" t="s">
        <v>770</v>
      </c>
      <c r="P84" s="160" t="s">
        <v>88</v>
      </c>
      <c r="Q84" s="190">
        <f>PI()/4*($E$77^2*$E$4)</f>
        <v>5139683.4239568207</v>
      </c>
    </row>
    <row r="85" spans="1:17" ht="12.75" customHeight="1">
      <c r="A85" s="93" t="s">
        <v>653</v>
      </c>
      <c r="B85" s="94"/>
      <c r="C85" s="94"/>
      <c r="D85" s="160" t="s">
        <v>654</v>
      </c>
      <c r="E85" s="190">
        <f>2*PI()*$E$77*$E$75*$E$36*$E$3*$E$37</f>
        <v>237356.80045760699</v>
      </c>
      <c r="F85" s="162"/>
      <c r="G85" s="94" t="s">
        <v>91</v>
      </c>
      <c r="H85" s="162" t="s">
        <v>169</v>
      </c>
      <c r="I85" s="163"/>
      <c r="J85" s="165" t="s">
        <v>771</v>
      </c>
      <c r="P85" s="160" t="s">
        <v>654</v>
      </c>
      <c r="Q85" s="190">
        <f>2*PI()*$E$77*$E$75*$E$36*$E$4*$E$37</f>
        <v>386244.24801737862</v>
      </c>
    </row>
    <row r="86" spans="1:17" ht="12.75" customHeight="1">
      <c r="A86" s="93" t="s">
        <v>655</v>
      </c>
      <c r="B86" s="94"/>
      <c r="C86" s="94"/>
      <c r="D86" s="160" t="s">
        <v>170</v>
      </c>
      <c r="E86" s="190">
        <f>MAX(PI()*$E$75*$E$77*$E$35*$E$37,$E$29)</f>
        <v>1186784.0022880347</v>
      </c>
      <c r="F86" s="162"/>
      <c r="G86" s="94" t="s">
        <v>91</v>
      </c>
      <c r="H86" s="162" t="s">
        <v>656</v>
      </c>
      <c r="I86" s="163"/>
      <c r="P86" s="160" t="s">
        <v>170</v>
      </c>
      <c r="Q86" s="190">
        <f>MAX(PI()*$E$75*$E$77*$E$35*$E$37,$E$29)</f>
        <v>1186784.0022880347</v>
      </c>
    </row>
    <row r="87" spans="1:17" ht="12.75" customHeight="1">
      <c r="A87" s="93" t="s">
        <v>657</v>
      </c>
      <c r="B87" s="94"/>
      <c r="C87" s="94"/>
      <c r="D87" s="160" t="s">
        <v>171</v>
      </c>
      <c r="E87" s="190">
        <f>MAX($E$84+$E$85,$E$30)</f>
        <v>3395821.4743975527</v>
      </c>
      <c r="F87" s="162"/>
      <c r="G87" s="94" t="s">
        <v>91</v>
      </c>
      <c r="H87" s="162" t="s">
        <v>658</v>
      </c>
      <c r="I87" s="163"/>
      <c r="J87" s="165" t="s">
        <v>410</v>
      </c>
      <c r="P87" s="160" t="s">
        <v>171</v>
      </c>
      <c r="Q87" s="190">
        <f>MAX($Q$84+$Q$85,$E$30)</f>
        <v>5525927.6719741989</v>
      </c>
    </row>
    <row r="88" spans="1:17" ht="12.75" customHeight="1">
      <c r="A88" s="93" t="s">
        <v>659</v>
      </c>
      <c r="B88" s="94"/>
      <c r="C88" s="94"/>
      <c r="D88" s="160" t="s">
        <v>138</v>
      </c>
      <c r="E88" s="191">
        <f>MAX($E$86/$E$69,$E$87/$E$68)</f>
        <v>23392.570432130102</v>
      </c>
      <c r="F88" s="162"/>
      <c r="G88" s="94" t="s">
        <v>571</v>
      </c>
      <c r="H88" s="162"/>
      <c r="I88" s="163"/>
      <c r="P88" s="160" t="s">
        <v>138</v>
      </c>
      <c r="Q88" s="191">
        <f>MAX($Q$86/$E$69,$Q$87/$E$70)</f>
        <v>17134.659447982012</v>
      </c>
    </row>
    <row r="89" spans="1:17" ht="12.75" customHeight="1">
      <c r="A89" s="93" t="s">
        <v>660</v>
      </c>
      <c r="B89" s="94"/>
      <c r="C89" s="94"/>
      <c r="D89" s="160" t="s">
        <v>661</v>
      </c>
      <c r="E89" s="190">
        <f>$E$24*$E$27</f>
        <v>25940.869506114897</v>
      </c>
      <c r="F89" s="162"/>
      <c r="G89" s="94" t="s">
        <v>571</v>
      </c>
      <c r="H89" s="162" t="s">
        <v>662</v>
      </c>
      <c r="I89" s="163"/>
      <c r="P89" s="160" t="s">
        <v>661</v>
      </c>
      <c r="Q89" s="190">
        <f>$E$24*$E$27</f>
        <v>25940.869506114897</v>
      </c>
    </row>
    <row r="90" spans="1:17" ht="12.75" customHeight="1" thickBot="1">
      <c r="A90" s="107" t="s">
        <v>663</v>
      </c>
      <c r="B90" s="108"/>
      <c r="C90" s="108"/>
      <c r="D90" s="164" t="s">
        <v>199</v>
      </c>
      <c r="E90" s="375">
        <f>0.5*($E$88+$E$89)*$E$69</f>
        <v>5303344.7933613379</v>
      </c>
      <c r="F90" s="111"/>
      <c r="G90" s="108" t="s">
        <v>91</v>
      </c>
      <c r="H90" s="111" t="s">
        <v>231</v>
      </c>
      <c r="I90" s="112"/>
      <c r="J90" s="378" t="s">
        <v>207</v>
      </c>
      <c r="P90" s="164" t="s">
        <v>199</v>
      </c>
      <c r="Q90" s="375">
        <f>0.5*($Q$88+$Q$89)*$E$69</f>
        <v>4630619.3625654178</v>
      </c>
    </row>
    <row r="91" spans="1:17" ht="12.75" customHeight="1">
      <c r="A91" s="93" t="s">
        <v>664</v>
      </c>
      <c r="B91" s="94"/>
      <c r="C91" s="94"/>
      <c r="D91" s="160" t="s">
        <v>665</v>
      </c>
      <c r="E91" s="190">
        <f>PI()/4*$E$78^2*$E$3</f>
        <v>2944055.2765581086</v>
      </c>
      <c r="F91" s="162"/>
      <c r="G91" s="94" t="s">
        <v>91</v>
      </c>
      <c r="H91" s="162" t="s">
        <v>181</v>
      </c>
      <c r="I91" s="163"/>
      <c r="P91" s="160" t="s">
        <v>665</v>
      </c>
      <c r="Q91" s="190">
        <f>PI()/4*$Q$78^2*$E$4</f>
        <v>4759688.7993771378</v>
      </c>
    </row>
    <row r="92" spans="1:17" ht="12.75" customHeight="1">
      <c r="A92" s="93" t="s">
        <v>666</v>
      </c>
      <c r="B92" s="94"/>
      <c r="C92" s="94"/>
      <c r="D92" s="160" t="s">
        <v>667</v>
      </c>
      <c r="E92" s="190">
        <f>$E$84-$E$91</f>
        <v>214409.39738183701</v>
      </c>
      <c r="F92" s="162"/>
      <c r="G92" s="94" t="s">
        <v>91</v>
      </c>
      <c r="H92" s="162" t="s">
        <v>182</v>
      </c>
      <c r="I92" s="163"/>
      <c r="P92" s="160" t="s">
        <v>667</v>
      </c>
      <c r="Q92" s="190">
        <f>Q84-Q91</f>
        <v>379994.62457968295</v>
      </c>
    </row>
    <row r="93" spans="1:17" ht="12.75" customHeight="1">
      <c r="A93" s="93" t="s">
        <v>668</v>
      </c>
      <c r="B93" s="94"/>
      <c r="C93" s="94"/>
      <c r="D93" s="160" t="s">
        <v>669</v>
      </c>
      <c r="E93" s="190">
        <f>E87-E84</f>
        <v>237356.80045760702</v>
      </c>
      <c r="F93" s="162"/>
      <c r="G93" s="94" t="s">
        <v>91</v>
      </c>
      <c r="H93" s="162" t="s">
        <v>173</v>
      </c>
      <c r="I93" s="163"/>
      <c r="P93" s="160" t="s">
        <v>669</v>
      </c>
      <c r="Q93" s="190">
        <f>Q87-Q84</f>
        <v>386244.24801737815</v>
      </c>
    </row>
    <row r="94" spans="1:17" ht="12.75" customHeight="1">
      <c r="A94" s="93" t="s">
        <v>670</v>
      </c>
      <c r="B94" s="94"/>
      <c r="C94" s="94"/>
      <c r="D94" s="160" t="s">
        <v>671</v>
      </c>
      <c r="E94" s="188">
        <f>($E$12-$E$78-$E$80)/2</f>
        <v>49</v>
      </c>
      <c r="F94" s="162"/>
      <c r="G94" s="94" t="s">
        <v>104</v>
      </c>
      <c r="H94" s="162" t="s">
        <v>196</v>
      </c>
      <c r="I94" s="163"/>
      <c r="P94" s="160" t="s">
        <v>671</v>
      </c>
      <c r="Q94" s="188">
        <f>($E$12-$Q$78-$Q$80)/2</f>
        <v>50.5</v>
      </c>
    </row>
    <row r="95" spans="1:17" ht="12.75" customHeight="1">
      <c r="A95" s="93" t="s">
        <v>672</v>
      </c>
      <c r="B95" s="94"/>
      <c r="C95" s="94"/>
      <c r="D95" s="160" t="s">
        <v>673</v>
      </c>
      <c r="E95" s="188">
        <f>($E$12-$E$77)/2</f>
        <v>26.980538959327532</v>
      </c>
      <c r="F95" s="162"/>
      <c r="G95" s="94" t="s">
        <v>104</v>
      </c>
      <c r="H95" s="162" t="s">
        <v>197</v>
      </c>
      <c r="I95" s="163"/>
      <c r="P95" s="160" t="s">
        <v>673</v>
      </c>
      <c r="Q95" s="188">
        <f>($E$12-$E$77)/2</f>
        <v>26.980538959327532</v>
      </c>
    </row>
    <row r="96" spans="1:17" ht="12.75" customHeight="1">
      <c r="A96" s="93" t="s">
        <v>674</v>
      </c>
      <c r="B96" s="94"/>
      <c r="C96" s="94"/>
      <c r="D96" s="160" t="s">
        <v>675</v>
      </c>
      <c r="E96" s="188">
        <f>(2*$E$12-$E$78-$E$77)/4</f>
        <v>43.490269479663766</v>
      </c>
      <c r="F96" s="162"/>
      <c r="G96" s="94" t="s">
        <v>104</v>
      </c>
      <c r="H96" s="162" t="s">
        <v>198</v>
      </c>
      <c r="I96" s="163"/>
      <c r="P96" s="160" t="s">
        <v>675</v>
      </c>
      <c r="Q96" s="188">
        <f>(2*$E$12-$Q$78-$E$77)/4</f>
        <v>44.990269479663766</v>
      </c>
    </row>
    <row r="97" spans="1:18" ht="12.75" customHeight="1">
      <c r="A97" s="93" t="s">
        <v>676</v>
      </c>
      <c r="B97" s="94"/>
      <c r="C97" s="94"/>
      <c r="D97" s="160" t="s">
        <v>677</v>
      </c>
      <c r="E97" s="190">
        <f>$E$90*$E$95</f>
        <v>143087100.8120324</v>
      </c>
      <c r="F97" s="162"/>
      <c r="G97" s="94" t="s">
        <v>678</v>
      </c>
      <c r="H97" s="162" t="s">
        <v>204</v>
      </c>
      <c r="I97" s="163"/>
      <c r="P97" s="160" t="s">
        <v>677</v>
      </c>
      <c r="Q97" s="190">
        <f>$Q$90*$Q$95</f>
        <v>124936606.11751267</v>
      </c>
    </row>
    <row r="98" spans="1:18" ht="12.75" customHeight="1" thickBot="1">
      <c r="A98" s="107" t="s">
        <v>679</v>
      </c>
      <c r="B98" s="108"/>
      <c r="C98" s="108"/>
      <c r="D98" s="164" t="s">
        <v>680</v>
      </c>
      <c r="E98" s="375">
        <f>$E$91*$E$94+$E$92*$E$96+$E$93*$E$95</f>
        <v>159987445.42446351</v>
      </c>
      <c r="F98" s="111"/>
      <c r="G98" s="108" t="s">
        <v>678</v>
      </c>
      <c r="H98" s="111" t="s">
        <v>203</v>
      </c>
      <c r="I98" s="112"/>
      <c r="P98" s="164" t="s">
        <v>680</v>
      </c>
      <c r="Q98" s="375">
        <f>$Q$91*$Q$94+$Q$92*$Q$96+$Q$93*$Q$95</f>
        <v>267881422.91065812</v>
      </c>
      <c r="R98" s="165" t="s">
        <v>920</v>
      </c>
    </row>
    <row r="99" spans="1:18" s="165" customFormat="1" ht="12.75" customHeight="1">
      <c r="A99" s="93" t="s">
        <v>681</v>
      </c>
      <c r="B99" s="94"/>
      <c r="C99" s="94"/>
      <c r="D99" s="160" t="s">
        <v>682</v>
      </c>
      <c r="E99" s="377">
        <f>MAX(SQRT($E$82/(2*$E$26+6*$E$13/($E$36+0.5))),1)</f>
        <v>1</v>
      </c>
      <c r="F99" s="162"/>
      <c r="G99" s="94" t="s">
        <v>116</v>
      </c>
      <c r="H99" s="162" t="s">
        <v>232</v>
      </c>
      <c r="I99" s="163" t="s">
        <v>683</v>
      </c>
      <c r="K99" s="165" t="s">
        <v>915</v>
      </c>
      <c r="P99" s="160" t="s">
        <v>682</v>
      </c>
      <c r="Q99" s="377">
        <f>MAX(SQRT($E$82/(2*$E$26+6*$E$13/($E$36+0.5))),1)</f>
        <v>1</v>
      </c>
    </row>
    <row r="100" spans="1:18" ht="12.75" customHeight="1">
      <c r="A100" s="93" t="s">
        <v>684</v>
      </c>
      <c r="B100" s="94"/>
      <c r="C100" s="94"/>
      <c r="D100" s="160" t="s">
        <v>212</v>
      </c>
      <c r="E100" s="377">
        <f>E10/E78</f>
        <v>1.0969664138678223</v>
      </c>
      <c r="F100" s="162"/>
      <c r="G100" s="94" t="s">
        <v>116</v>
      </c>
      <c r="H100" s="162" t="s">
        <v>234</v>
      </c>
      <c r="I100" s="163"/>
      <c r="L100" s="165" t="s">
        <v>316</v>
      </c>
      <c r="N100" s="165" t="s">
        <v>335</v>
      </c>
      <c r="P100" s="160" t="s">
        <v>212</v>
      </c>
      <c r="Q100" s="377">
        <f>E10/Q78</f>
        <v>1.1005434782608696</v>
      </c>
    </row>
    <row r="101" spans="1:18" ht="12.75" customHeight="1">
      <c r="A101" s="93" t="s">
        <v>685</v>
      </c>
      <c r="B101" s="94"/>
      <c r="C101" s="94"/>
      <c r="D101" s="160" t="s">
        <v>217</v>
      </c>
      <c r="E101" s="377">
        <f>SQRT(E78*E79)</f>
        <v>154.91287874156882</v>
      </c>
      <c r="F101" s="162"/>
      <c r="G101" s="94" t="s">
        <v>116</v>
      </c>
      <c r="H101" s="162" t="s">
        <v>235</v>
      </c>
      <c r="I101" s="163"/>
      <c r="K101" s="75" t="s">
        <v>49</v>
      </c>
      <c r="L101" s="73">
        <f>$E$105-1</f>
        <v>0.69230769230769229</v>
      </c>
      <c r="N101" s="73">
        <f>$Q$105-1</f>
        <v>0.5625</v>
      </c>
      <c r="P101" s="160" t="s">
        <v>217</v>
      </c>
      <c r="Q101" s="377">
        <f>SQRT(Q78*Q79)</f>
        <v>171.58088471621772</v>
      </c>
    </row>
    <row r="102" spans="1:18" ht="12.75" customHeight="1">
      <c r="A102" s="93" t="s">
        <v>686</v>
      </c>
      <c r="B102" s="94"/>
      <c r="C102" s="94"/>
      <c r="D102" s="160"/>
      <c r="E102" s="377">
        <f>($E$100^2*(1+8.55246*LOG($E$100))-1)/((1.0472+1.9448*$E$100^2)*($E$100-1))</f>
        <v>1.8783657541251984</v>
      </c>
      <c r="F102" s="162"/>
      <c r="G102" s="94" t="s">
        <v>116</v>
      </c>
      <c r="H102" s="162" t="s">
        <v>236</v>
      </c>
      <c r="I102" s="163"/>
      <c r="K102" s="75" t="s">
        <v>51</v>
      </c>
      <c r="L102" s="73">
        <f>48*(1-$L$8^2)*$E$106^4</f>
        <v>0.47403733626411787</v>
      </c>
      <c r="N102" s="73">
        <f>48*(1-$L$8^2)*$Q$106^4</f>
        <v>0.31498294246219283</v>
      </c>
      <c r="P102" s="160" t="s">
        <v>922</v>
      </c>
      <c r="Q102" s="377">
        <f>($Q$100^2*(1+8.55246*LOG($Q$100))-1)/((1.0472+1.9448*$Q$100^2)*($Q$100-1))</f>
        <v>1.8770829917534491</v>
      </c>
    </row>
    <row r="103" spans="1:18" ht="12.75" customHeight="1">
      <c r="A103" s="93" t="s">
        <v>687</v>
      </c>
      <c r="B103" s="94"/>
      <c r="C103" s="94"/>
      <c r="D103" s="160"/>
      <c r="E103" s="377">
        <f>($E$100^2*(1+8.55246*LOG($E$100))-1)/((1.36136*($E$100^2-1)*($E$100-1)))</f>
        <v>22.98618056737622</v>
      </c>
      <c r="F103" s="162"/>
      <c r="G103" s="94" t="s">
        <v>116</v>
      </c>
      <c r="H103" s="162" t="s">
        <v>237</v>
      </c>
      <c r="I103" s="163"/>
      <c r="P103" s="160" t="s">
        <v>923</v>
      </c>
      <c r="Q103" s="377">
        <f>($Q$100^2*(1+8.55246*LOG($Q$100))-1)/((1.36136*($Q$100^2-1)*($Q$100-1)))</f>
        <v>22.215336357320972</v>
      </c>
    </row>
    <row r="104" spans="1:18" ht="12.75" customHeight="1">
      <c r="A104" s="93" t="s">
        <v>688</v>
      </c>
      <c r="B104" s="94"/>
      <c r="C104" s="94"/>
      <c r="D104" s="160"/>
      <c r="E104" s="377">
        <f>(1/($E$100-1))*(0.66845+5.7169*($E$100^2*LOG($E$100)/($E$100^2-1)))</f>
        <v>20.917469318821514</v>
      </c>
      <c r="F104" s="162"/>
      <c r="G104" s="94" t="s">
        <v>116</v>
      </c>
      <c r="H104" s="162" t="s">
        <v>238</v>
      </c>
      <c r="I104" s="163"/>
      <c r="P104" s="160" t="s">
        <v>924</v>
      </c>
      <c r="Q104" s="377">
        <f>(1/($Q$100-1))*(0.66845+5.7169*($Q$100^2*LOG($Q$100)/($Q$100^2-1)))</f>
        <v>20.215999598485372</v>
      </c>
    </row>
    <row r="105" spans="1:18" ht="12.75" customHeight="1">
      <c r="A105" s="93" t="s">
        <v>689</v>
      </c>
      <c r="B105" s="94" t="s">
        <v>690</v>
      </c>
      <c r="C105" s="94"/>
      <c r="D105" s="160" t="s">
        <v>215</v>
      </c>
      <c r="E105" s="377">
        <f>E80/E79</f>
        <v>1.6923076923076923</v>
      </c>
      <c r="F105" s="162"/>
      <c r="G105" s="94" t="s">
        <v>116</v>
      </c>
      <c r="H105" s="162"/>
      <c r="I105" s="163"/>
      <c r="P105" s="160" t="s">
        <v>215</v>
      </c>
      <c r="Q105" s="377">
        <f>Q80/Q79</f>
        <v>1.5625</v>
      </c>
    </row>
    <row r="106" spans="1:18" ht="12.75" customHeight="1">
      <c r="A106" s="93" t="s">
        <v>691</v>
      </c>
      <c r="B106" s="94"/>
      <c r="C106" s="94"/>
      <c r="D106" s="160" t="s">
        <v>216</v>
      </c>
      <c r="E106" s="377">
        <f>$E$18/$E$101</f>
        <v>0.32276206088334192</v>
      </c>
      <c r="F106" s="162"/>
      <c r="G106" s="94" t="s">
        <v>116</v>
      </c>
      <c r="H106" s="162"/>
      <c r="I106" s="163"/>
      <c r="P106" s="160" t="s">
        <v>216</v>
      </c>
      <c r="Q106" s="377">
        <f>$E$18/$Q$101</f>
        <v>0.29140775257509804</v>
      </c>
    </row>
    <row r="107" spans="1:18" ht="12.75" customHeight="1">
      <c r="A107" s="93" t="s">
        <v>692</v>
      </c>
      <c r="B107" s="94"/>
      <c r="C107" s="94"/>
      <c r="D107" s="160" t="s">
        <v>693</v>
      </c>
      <c r="E107" s="377">
        <f>L107</f>
        <v>0.87007563638580188</v>
      </c>
      <c r="F107" s="162"/>
      <c r="G107" s="94" t="s">
        <v>116</v>
      </c>
      <c r="H107" s="162" t="s">
        <v>694</v>
      </c>
      <c r="I107" s="163"/>
      <c r="K107" s="37" t="s">
        <v>294</v>
      </c>
      <c r="L107" s="400">
        <v>0.87007563638580188</v>
      </c>
      <c r="M107" s="401"/>
      <c r="N107" s="401">
        <v>0.87865053844142171</v>
      </c>
      <c r="P107" s="160" t="s">
        <v>693</v>
      </c>
      <c r="Q107" s="377">
        <f>N107</f>
        <v>0.87865053844142171</v>
      </c>
    </row>
    <row r="108" spans="1:18" ht="12.75" customHeight="1">
      <c r="A108" s="93" t="s">
        <v>692</v>
      </c>
      <c r="B108" s="94"/>
      <c r="C108" s="94"/>
      <c r="D108" s="160" t="s">
        <v>695</v>
      </c>
      <c r="E108" s="377">
        <f>L108</f>
        <v>0.32810340242717373</v>
      </c>
      <c r="F108" s="162"/>
      <c r="G108" s="94" t="s">
        <v>116</v>
      </c>
      <c r="H108" s="162" t="s">
        <v>696</v>
      </c>
      <c r="I108" s="163"/>
      <c r="K108" s="37" t="s">
        <v>295</v>
      </c>
      <c r="L108" s="402">
        <v>0.32810340242717373</v>
      </c>
      <c r="M108" s="401"/>
      <c r="N108" s="401">
        <v>0.36198063092570304</v>
      </c>
      <c r="P108" s="160" t="s">
        <v>695</v>
      </c>
      <c r="Q108" s="377">
        <f>N108</f>
        <v>0.36198063092570304</v>
      </c>
    </row>
    <row r="109" spans="1:18" ht="12.75" customHeight="1">
      <c r="A109" s="93" t="s">
        <v>697</v>
      </c>
      <c r="B109" s="94"/>
      <c r="C109" s="94"/>
      <c r="D109" s="160" t="s">
        <v>698</v>
      </c>
      <c r="E109" s="377">
        <f>MAX(L109,1)</f>
        <v>1.3929898501518567</v>
      </c>
      <c r="F109" s="162"/>
      <c r="G109" s="94" t="s">
        <v>116</v>
      </c>
      <c r="H109" s="162" t="s">
        <v>699</v>
      </c>
      <c r="I109" s="163"/>
      <c r="K109" s="37" t="s">
        <v>95</v>
      </c>
      <c r="L109" s="402">
        <v>1.3929898501518567</v>
      </c>
      <c r="M109" s="401"/>
      <c r="N109" s="401">
        <v>1.281565962369158</v>
      </c>
      <c r="P109" s="160" t="s">
        <v>698</v>
      </c>
      <c r="Q109" s="377">
        <f>MAX(N109,1)</f>
        <v>1.281565962369158</v>
      </c>
    </row>
    <row r="110" spans="1:18" ht="12.75" customHeight="1">
      <c r="A110" s="93" t="s">
        <v>700</v>
      </c>
      <c r="B110" s="94"/>
      <c r="C110" s="94"/>
      <c r="D110" s="160" t="s">
        <v>914</v>
      </c>
      <c r="E110" s="377">
        <f>((E13*E107+E101)/(E102*E101) + (E13^3*E108)/(E103*E101*E79^2))</f>
        <v>2.6281091144652282</v>
      </c>
      <c r="F110" s="162"/>
      <c r="G110" s="94" t="s">
        <v>116</v>
      </c>
      <c r="H110" s="162" t="s">
        <v>312</v>
      </c>
      <c r="I110" s="163"/>
      <c r="K110" s="37" t="s">
        <v>96</v>
      </c>
      <c r="L110" s="402">
        <v>2.4409243985827072</v>
      </c>
      <c r="M110" s="401"/>
      <c r="N110" s="401">
        <v>2.6819714868257845</v>
      </c>
      <c r="P110" s="160" t="s">
        <v>914</v>
      </c>
      <c r="Q110" s="377">
        <f>((E13*Q107+Q101)/(Q102*Q101) + (E13^3*Q108)/(Q103*Q101*Q79^2))</f>
        <v>2.0592279842607666</v>
      </c>
    </row>
    <row r="111" spans="1:18" ht="12.75" customHeight="1" thickBot="1">
      <c r="A111" s="107" t="s">
        <v>701</v>
      </c>
      <c r="B111" s="108"/>
      <c r="C111" s="108"/>
      <c r="D111" s="164" t="s">
        <v>321</v>
      </c>
      <c r="E111" s="383">
        <f>IF($E$78&lt;1000,1,IF($E$78&gt;2000,1.333,2/3*(1+$E$78/2000)))</f>
        <v>1.282</v>
      </c>
      <c r="F111" s="111"/>
      <c r="G111" s="108" t="s">
        <v>116</v>
      </c>
      <c r="H111" s="111" t="s">
        <v>702</v>
      </c>
      <c r="I111" s="112"/>
      <c r="K111" s="37" t="s">
        <v>296</v>
      </c>
      <c r="L111" s="402">
        <v>3.521594786170632</v>
      </c>
      <c r="M111" s="401"/>
      <c r="N111" s="401">
        <v>4.9101442940980702</v>
      </c>
      <c r="P111" s="164" t="s">
        <v>321</v>
      </c>
      <c r="Q111" s="383">
        <f>IF($Q$78&lt;1000,1,IF($Q$78&gt;2000,1.333,2/3*(1+$Q$78/2000)))</f>
        <v>1.2799999999999998</v>
      </c>
    </row>
    <row r="112" spans="1:18" ht="12.75" customHeight="1" thickBot="1">
      <c r="A112" s="128"/>
      <c r="B112" s="129"/>
      <c r="C112" s="129"/>
      <c r="D112" s="130"/>
      <c r="E112" s="166"/>
      <c r="F112" s="132"/>
      <c r="G112" s="129"/>
      <c r="H112" s="132"/>
      <c r="I112" s="133"/>
      <c r="K112" s="37" t="s">
        <v>97</v>
      </c>
      <c r="L112" s="402">
        <v>1</v>
      </c>
      <c r="M112" s="401"/>
      <c r="N112" s="401">
        <v>1</v>
      </c>
    </row>
    <row r="113" spans="1:15" ht="12.75" customHeight="1">
      <c r="A113" s="87" t="s">
        <v>590</v>
      </c>
      <c r="B113" s="139" t="str">
        <f>B55</f>
        <v>Vessel Engineering Software</v>
      </c>
      <c r="C113" s="88"/>
      <c r="D113" s="88"/>
      <c r="E113" s="88"/>
      <c r="F113" s="90" t="s">
        <v>592</v>
      </c>
      <c r="G113" s="139" t="str">
        <f>G55</f>
        <v>P3350</v>
      </c>
      <c r="H113" s="88"/>
      <c r="I113" s="92"/>
      <c r="L113" s="403"/>
      <c r="M113" s="403"/>
      <c r="N113" s="403"/>
    </row>
    <row r="114" spans="1:15" ht="12.75" customHeight="1">
      <c r="A114" s="98" t="s">
        <v>594</v>
      </c>
      <c r="B114" s="145" t="str">
        <f>B56</f>
        <v>Zeeland Refinery</v>
      </c>
      <c r="C114" s="99"/>
      <c r="D114" s="99"/>
      <c r="E114" s="99"/>
      <c r="F114" s="101" t="s">
        <v>596</v>
      </c>
      <c r="G114" s="145" t="str">
        <f>G56</f>
        <v>293H02</v>
      </c>
      <c r="H114" s="99"/>
      <c r="I114" s="102"/>
    </row>
    <row r="115" spans="1:15" ht="12.75" customHeight="1">
      <c r="A115" s="98" t="s">
        <v>598</v>
      </c>
      <c r="B115" s="145" t="str">
        <f>B57</f>
        <v>Vlissingen</v>
      </c>
      <c r="C115" s="99"/>
      <c r="D115" s="99"/>
      <c r="E115" s="99"/>
      <c r="F115" s="101" t="s">
        <v>600</v>
      </c>
      <c r="G115" s="145" t="str">
        <f>G57</f>
        <v>FLANGE pos 52</v>
      </c>
      <c r="H115" s="99"/>
      <c r="I115" s="102"/>
    </row>
    <row r="116" spans="1:15" ht="12.75" customHeight="1">
      <c r="A116" s="107" t="s">
        <v>602</v>
      </c>
      <c r="B116" s="167" t="str">
        <f>B58</f>
        <v>[13]</v>
      </c>
      <c r="C116" s="108"/>
      <c r="D116" s="108"/>
      <c r="E116" s="108"/>
      <c r="F116" s="168" t="s">
        <v>604</v>
      </c>
      <c r="G116" s="151">
        <f>G58</f>
        <v>0</v>
      </c>
      <c r="H116" s="1015">
        <f>H58</f>
        <v>41582</v>
      </c>
      <c r="I116" s="1016"/>
      <c r="J116" s="152"/>
    </row>
    <row r="117" spans="1:15" ht="12.75" customHeight="1">
      <c r="A117" s="153" t="s">
        <v>605</v>
      </c>
      <c r="B117" s="1013">
        <f ca="1">NOW()</f>
        <v>42277.628329629631</v>
      </c>
      <c r="C117" s="1014"/>
      <c r="D117" s="154" t="s">
        <v>606</v>
      </c>
      <c r="E117" s="155"/>
      <c r="F117" s="154" t="s">
        <v>607</v>
      </c>
      <c r="G117" s="169" t="s">
        <v>608</v>
      </c>
      <c r="H117" s="157" t="s">
        <v>609</v>
      </c>
      <c r="I117" s="158">
        <f>I59+1</f>
        <v>2</v>
      </c>
    </row>
    <row r="118" spans="1:15" ht="12.75" customHeight="1">
      <c r="A118" s="80" t="str">
        <f>A1</f>
        <v>EN 13445</v>
      </c>
      <c r="B118" s="81"/>
      <c r="C118" s="80" t="str">
        <f>C1</f>
        <v>Unfired pressure vessels</v>
      </c>
      <c r="D118" s="82"/>
      <c r="E118" s="82"/>
      <c r="F118" s="82"/>
      <c r="G118" s="81"/>
      <c r="H118" s="80" t="str">
        <f>H1</f>
        <v>Clause 11</v>
      </c>
      <c r="I118" s="81"/>
    </row>
    <row r="119" spans="1:15" ht="12.75" customHeight="1">
      <c r="A119" s="84" t="str">
        <f>A2</f>
        <v>2009 (E)</v>
      </c>
      <c r="B119" s="85"/>
      <c r="C119" s="84" t="str">
        <f>C2</f>
        <v>Integral flange with hub (integral method)</v>
      </c>
      <c r="D119" s="86"/>
      <c r="E119" s="86"/>
      <c r="F119" s="86"/>
      <c r="G119" s="85"/>
      <c r="H119" s="84" t="str">
        <f>H2</f>
        <v>Issue 3 (2011-07)</v>
      </c>
      <c r="I119" s="85"/>
    </row>
    <row r="120" spans="1:15" ht="12.75" customHeight="1">
      <c r="A120" s="113" t="s">
        <v>703</v>
      </c>
      <c r="B120" s="114"/>
      <c r="C120" s="114"/>
      <c r="D120" s="115"/>
      <c r="E120" s="170"/>
      <c r="F120" s="117"/>
      <c r="G120" s="114"/>
      <c r="H120" s="117"/>
      <c r="I120" s="118"/>
    </row>
    <row r="121" spans="1:15" ht="12.75" customHeight="1">
      <c r="A121" s="119" t="s">
        <v>704</v>
      </c>
      <c r="B121" s="120"/>
      <c r="C121" s="120"/>
      <c r="D121" s="121" t="s">
        <v>482</v>
      </c>
      <c r="E121" s="379">
        <f>$E$98*$E$99/$E$78</f>
        <v>86667.088528961816</v>
      </c>
      <c r="F121" s="122"/>
      <c r="G121" s="120" t="s">
        <v>705</v>
      </c>
      <c r="H121" s="162" t="s">
        <v>706</v>
      </c>
      <c r="I121" s="124"/>
    </row>
    <row r="122" spans="1:15" ht="12.75" customHeight="1">
      <c r="A122" s="141" t="s">
        <v>707</v>
      </c>
      <c r="B122" s="99"/>
      <c r="C122" s="99"/>
      <c r="D122" s="100" t="s">
        <v>708</v>
      </c>
      <c r="E122" s="384">
        <f>$E$111*$E$109*$E$121/($E$110*$E$80^2)</f>
        <v>121.67502114048662</v>
      </c>
      <c r="F122" s="105"/>
      <c r="G122" s="99" t="s">
        <v>536</v>
      </c>
      <c r="H122" s="104" t="s">
        <v>311</v>
      </c>
      <c r="I122" s="106" t="s">
        <v>709</v>
      </c>
      <c r="J122" s="378" t="s">
        <v>304</v>
      </c>
      <c r="M122" s="384"/>
    </row>
    <row r="123" spans="1:15" ht="12.75" customHeight="1">
      <c r="A123" s="98" t="s">
        <v>918</v>
      </c>
      <c r="B123" s="99"/>
      <c r="C123" s="99"/>
      <c r="D123" s="100" t="s">
        <v>710</v>
      </c>
      <c r="E123" s="384">
        <f>$E$111*((1.3333*$E$13*$E$107+$E$101)*$E$121)/($E$110*$E$13^2*$E$101)</f>
        <v>4.1941463612810876</v>
      </c>
      <c r="F123" s="105"/>
      <c r="G123" s="99" t="s">
        <v>536</v>
      </c>
      <c r="H123" s="104" t="s">
        <v>313</v>
      </c>
      <c r="I123" s="106" t="s">
        <v>711</v>
      </c>
      <c r="J123" s="378" t="s">
        <v>303</v>
      </c>
      <c r="M123" s="384"/>
    </row>
    <row r="124" spans="1:15" ht="12.75" customHeight="1">
      <c r="A124" s="98" t="s">
        <v>712</v>
      </c>
      <c r="B124" s="99"/>
      <c r="C124" s="99"/>
      <c r="D124" s="100" t="s">
        <v>713</v>
      </c>
      <c r="E124" s="384">
        <f>($E$111*$E$104*$E$121)/$E$13^2-(($E$123*($E$100^2+1)/($E$100^2-1)))</f>
        <v>65.091315247560843</v>
      </c>
      <c r="F124" s="105"/>
      <c r="G124" s="99" t="s">
        <v>536</v>
      </c>
      <c r="H124" s="104" t="s">
        <v>714</v>
      </c>
      <c r="I124" s="106" t="s">
        <v>715</v>
      </c>
      <c r="J124" s="378" t="s">
        <v>302</v>
      </c>
      <c r="M124" s="384"/>
    </row>
    <row r="125" spans="1:15" ht="12.75" customHeight="1">
      <c r="A125" s="98" t="s">
        <v>716</v>
      </c>
      <c r="B125" s="99"/>
      <c r="C125" s="99"/>
      <c r="D125" s="100" t="s">
        <v>717</v>
      </c>
      <c r="E125" s="384">
        <f>(E122+E123)/2</f>
        <v>62.934583750883853</v>
      </c>
      <c r="F125" s="105"/>
      <c r="G125" s="99" t="s">
        <v>536</v>
      </c>
      <c r="H125" s="104" t="s">
        <v>718</v>
      </c>
      <c r="I125" s="106" t="s">
        <v>719</v>
      </c>
      <c r="M125" s="384"/>
      <c r="O125" s="385"/>
    </row>
    <row r="126" spans="1:15" ht="12.75" customHeight="1">
      <c r="A126" s="98" t="s">
        <v>720</v>
      </c>
      <c r="B126" s="99"/>
      <c r="C126" s="99"/>
      <c r="D126" s="100" t="s">
        <v>721</v>
      </c>
      <c r="E126" s="384">
        <f>(E122+E124)/2</f>
        <v>93.383168194023739</v>
      </c>
      <c r="F126" s="105"/>
      <c r="G126" s="99" t="s">
        <v>536</v>
      </c>
      <c r="H126" s="104" t="s">
        <v>722</v>
      </c>
      <c r="I126" s="106" t="s">
        <v>723</v>
      </c>
    </row>
    <row r="127" spans="1:15" ht="12.75" customHeight="1">
      <c r="A127" s="98" t="s">
        <v>612</v>
      </c>
      <c r="B127" s="99"/>
      <c r="C127" s="99"/>
      <c r="D127" s="100" t="s">
        <v>613</v>
      </c>
      <c r="E127" s="380">
        <f>E63</f>
        <v>106.66666666666667</v>
      </c>
      <c r="F127" s="105"/>
      <c r="G127" s="99" t="s">
        <v>536</v>
      </c>
      <c r="H127" s="104"/>
      <c r="I127" s="106"/>
    </row>
    <row r="128" spans="1:15" ht="12.75" customHeight="1">
      <c r="A128" s="107" t="s">
        <v>724</v>
      </c>
      <c r="B128" s="108"/>
      <c r="C128" s="108"/>
      <c r="D128" s="109" t="s">
        <v>725</v>
      </c>
      <c r="E128" s="374">
        <f>1.5*E127</f>
        <v>160</v>
      </c>
      <c r="F128" s="110"/>
      <c r="G128" s="108" t="s">
        <v>536</v>
      </c>
      <c r="H128" s="111"/>
      <c r="I128" s="112"/>
    </row>
    <row r="129" spans="1:10" ht="12.75" customHeight="1">
      <c r="A129" s="113" t="s">
        <v>726</v>
      </c>
      <c r="B129" s="114"/>
      <c r="C129" s="114"/>
      <c r="D129" s="115"/>
      <c r="E129" s="170"/>
      <c r="F129" s="117"/>
      <c r="G129" s="114"/>
      <c r="H129" s="117"/>
      <c r="I129" s="118"/>
    </row>
    <row r="130" spans="1:10" ht="12.75" customHeight="1">
      <c r="A130" s="119" t="s">
        <v>727</v>
      </c>
      <c r="B130" s="120"/>
      <c r="C130" s="120"/>
      <c r="D130" s="121" t="s">
        <v>482</v>
      </c>
      <c r="E130" s="379">
        <f>$E$97*$E$99/$E$78</f>
        <v>77511.972270873463</v>
      </c>
      <c r="F130" s="122"/>
      <c r="G130" s="120" t="s">
        <v>705</v>
      </c>
      <c r="H130" s="162" t="s">
        <v>728</v>
      </c>
      <c r="I130" s="124"/>
    </row>
    <row r="131" spans="1:10" ht="12.75" customHeight="1">
      <c r="A131" s="141" t="s">
        <v>729</v>
      </c>
      <c r="B131" s="99"/>
      <c r="C131" s="99"/>
      <c r="D131" s="100" t="s">
        <v>730</v>
      </c>
      <c r="E131" s="384">
        <f>$E$111*$E$109*$E$130/($E$110*$E$80^2)</f>
        <v>108.82182642546786</v>
      </c>
      <c r="F131" s="105"/>
      <c r="G131" s="99" t="s">
        <v>536</v>
      </c>
      <c r="H131" s="104" t="s">
        <v>311</v>
      </c>
      <c r="I131" s="106" t="s">
        <v>731</v>
      </c>
    </row>
    <row r="132" spans="1:10" ht="12.75" customHeight="1">
      <c r="A132" s="141" t="s">
        <v>917</v>
      </c>
      <c r="B132" s="99"/>
      <c r="C132" s="99"/>
      <c r="D132" s="100" t="s">
        <v>732</v>
      </c>
      <c r="E132" s="384">
        <f>$E$111*((1.3333*$E$13*$E$107+$E$101)*$E$130)/($E$110*$E$13^2*$E$101)</f>
        <v>3.7510958539580557</v>
      </c>
      <c r="F132" s="105"/>
      <c r="G132" s="99" t="s">
        <v>536</v>
      </c>
      <c r="H132" s="104" t="s">
        <v>313</v>
      </c>
      <c r="I132" s="106" t="s">
        <v>733</v>
      </c>
    </row>
    <row r="133" spans="1:10" ht="12.75" customHeight="1">
      <c r="A133" s="141" t="s">
        <v>734</v>
      </c>
      <c r="B133" s="99"/>
      <c r="C133" s="99"/>
      <c r="D133" s="100" t="s">
        <v>735</v>
      </c>
      <c r="E133" s="384">
        <f>($E$111*$E$104*$E$130)/$E$13^2-(($E$132*($E$100^2+1)/($E$100^2-1)))</f>
        <v>58.215365350107469</v>
      </c>
      <c r="F133" s="105"/>
      <c r="G133" s="99" t="s">
        <v>536</v>
      </c>
      <c r="H133" s="104" t="s">
        <v>714</v>
      </c>
      <c r="I133" s="106" t="s">
        <v>736</v>
      </c>
    </row>
    <row r="134" spans="1:10" ht="12.75" customHeight="1">
      <c r="A134" s="141" t="s">
        <v>737</v>
      </c>
      <c r="B134" s="99"/>
      <c r="C134" s="99"/>
      <c r="D134" s="100" t="s">
        <v>738</v>
      </c>
      <c r="E134" s="384">
        <f>(E131+E132)/2</f>
        <v>56.286461139712955</v>
      </c>
      <c r="F134" s="105"/>
      <c r="G134" s="99" t="s">
        <v>536</v>
      </c>
      <c r="H134" s="104" t="s">
        <v>718</v>
      </c>
      <c r="I134" s="106" t="s">
        <v>739</v>
      </c>
    </row>
    <row r="135" spans="1:10" ht="12.75" customHeight="1">
      <c r="A135" s="141" t="s">
        <v>740</v>
      </c>
      <c r="B135" s="99"/>
      <c r="C135" s="99"/>
      <c r="D135" s="100" t="s">
        <v>741</v>
      </c>
      <c r="E135" s="384">
        <f>(E131+E133)/2</f>
        <v>83.518595887787669</v>
      </c>
      <c r="F135" s="105"/>
      <c r="G135" s="99" t="s">
        <v>536</v>
      </c>
      <c r="H135" s="104" t="s">
        <v>722</v>
      </c>
      <c r="I135" s="106" t="s">
        <v>742</v>
      </c>
    </row>
    <row r="136" spans="1:10" ht="12.75" customHeight="1">
      <c r="A136" s="98" t="s">
        <v>615</v>
      </c>
      <c r="B136" s="99"/>
      <c r="C136" s="99"/>
      <c r="D136" s="100" t="s">
        <v>616</v>
      </c>
      <c r="E136" s="380">
        <f>E64</f>
        <v>146.66666666666666</v>
      </c>
      <c r="F136" s="105"/>
      <c r="G136" s="99" t="s">
        <v>536</v>
      </c>
      <c r="H136" s="104"/>
      <c r="I136" s="106"/>
    </row>
    <row r="137" spans="1:10" ht="12.75" customHeight="1">
      <c r="A137" s="107" t="s">
        <v>724</v>
      </c>
      <c r="B137" s="108"/>
      <c r="C137" s="108"/>
      <c r="D137" s="109" t="s">
        <v>743</v>
      </c>
      <c r="E137" s="374">
        <f>1.5*E136</f>
        <v>220</v>
      </c>
      <c r="F137" s="110"/>
      <c r="G137" s="108" t="s">
        <v>536</v>
      </c>
      <c r="H137" s="111"/>
      <c r="I137" s="112"/>
    </row>
    <row r="138" spans="1:10" ht="12.75" customHeight="1">
      <c r="A138" s="113" t="s">
        <v>744</v>
      </c>
      <c r="B138" s="114"/>
      <c r="C138" s="114"/>
      <c r="D138" s="115"/>
      <c r="E138" s="171"/>
      <c r="F138" s="117"/>
      <c r="G138" s="114"/>
      <c r="H138" s="117"/>
      <c r="I138" s="118"/>
      <c r="J138" s="165" t="s">
        <v>916</v>
      </c>
    </row>
    <row r="139" spans="1:10" ht="12.75" customHeight="1">
      <c r="A139" s="119" t="s">
        <v>745</v>
      </c>
      <c r="B139" s="120"/>
      <c r="C139" s="120"/>
      <c r="D139" s="121" t="s">
        <v>482</v>
      </c>
      <c r="E139" s="379">
        <f>$Q$98*$E$99/$Q$78</f>
        <v>145587.72984274899</v>
      </c>
      <c r="F139" s="122"/>
      <c r="G139" s="120" t="s">
        <v>705</v>
      </c>
      <c r="H139" s="123"/>
      <c r="I139" s="124"/>
    </row>
    <row r="140" spans="1:10" ht="12.75" customHeight="1">
      <c r="A140" s="98" t="s">
        <v>746</v>
      </c>
      <c r="B140" s="99"/>
      <c r="C140" s="99"/>
      <c r="D140" s="100" t="s">
        <v>747</v>
      </c>
      <c r="E140" s="384">
        <f>$Q$111*$Q$109*$E$139/($Q$110*$Q$80^2)</f>
        <v>185.56294617584291</v>
      </c>
      <c r="F140" s="105"/>
      <c r="G140" s="99" t="s">
        <v>536</v>
      </c>
      <c r="H140" s="104" t="s">
        <v>311</v>
      </c>
      <c r="I140" s="106" t="s">
        <v>748</v>
      </c>
    </row>
    <row r="141" spans="1:10" ht="12.75" customHeight="1">
      <c r="A141" s="98" t="s">
        <v>749</v>
      </c>
      <c r="B141" s="99"/>
      <c r="C141" s="99"/>
      <c r="D141" s="100" t="s">
        <v>750</v>
      </c>
      <c r="E141" s="384">
        <f>$Q$111*((1.3333*$E$13*$Q$107+$Q$101)*$E$139)/($Q$110*$E$13^2*$Q$101)</f>
        <v>8.5654729102335807</v>
      </c>
      <c r="F141" s="105"/>
      <c r="G141" s="99" t="s">
        <v>536</v>
      </c>
      <c r="H141" s="104" t="s">
        <v>313</v>
      </c>
      <c r="I141" s="106" t="s">
        <v>751</v>
      </c>
    </row>
    <row r="142" spans="1:10" ht="12.75" customHeight="1">
      <c r="A142" s="98" t="s">
        <v>752</v>
      </c>
      <c r="B142" s="99"/>
      <c r="C142" s="99"/>
      <c r="D142" s="100" t="s">
        <v>753</v>
      </c>
      <c r="E142" s="384">
        <f>($Q$111*$Q$104*$E$139)/$E$13^2-(($E$141*($Q$100^2+1)/($Q$100^2-1)))</f>
        <v>89.502364451566663</v>
      </c>
      <c r="F142" s="105"/>
      <c r="G142" s="99" t="s">
        <v>536</v>
      </c>
      <c r="H142" s="104" t="s">
        <v>714</v>
      </c>
      <c r="I142" s="106" t="s">
        <v>754</v>
      </c>
    </row>
    <row r="143" spans="1:10" ht="12.75" customHeight="1">
      <c r="A143" s="98" t="s">
        <v>755</v>
      </c>
      <c r="B143" s="99"/>
      <c r="C143" s="99"/>
      <c r="D143" s="100" t="s">
        <v>756</v>
      </c>
      <c r="E143" s="384">
        <f>(E140+E141)/2</f>
        <v>97.064209543038245</v>
      </c>
      <c r="F143" s="105"/>
      <c r="G143" s="99" t="s">
        <v>536</v>
      </c>
      <c r="H143" s="104" t="s">
        <v>718</v>
      </c>
      <c r="I143" s="106" t="s">
        <v>757</v>
      </c>
    </row>
    <row r="144" spans="1:10" ht="12.75" customHeight="1">
      <c r="A144" s="98" t="s">
        <v>758</v>
      </c>
      <c r="B144" s="99"/>
      <c r="C144" s="99"/>
      <c r="D144" s="100" t="s">
        <v>759</v>
      </c>
      <c r="E144" s="384">
        <f>(E140+E142)/2</f>
        <v>137.53265531370479</v>
      </c>
      <c r="F144" s="105"/>
      <c r="G144" s="99" t="s">
        <v>536</v>
      </c>
      <c r="H144" s="104" t="s">
        <v>722</v>
      </c>
      <c r="I144" s="106" t="s">
        <v>760</v>
      </c>
    </row>
    <row r="145" spans="1:14" ht="12.75" customHeight="1">
      <c r="A145" s="98" t="s">
        <v>615</v>
      </c>
      <c r="B145" s="99"/>
      <c r="C145" s="99"/>
      <c r="D145" s="100" t="s">
        <v>619</v>
      </c>
      <c r="E145" s="380">
        <f>E65</f>
        <v>209.52380952380952</v>
      </c>
      <c r="F145" s="105"/>
      <c r="G145" s="99" t="s">
        <v>536</v>
      </c>
      <c r="H145" s="104"/>
      <c r="I145" s="106"/>
    </row>
    <row r="146" spans="1:14" ht="12.75" customHeight="1">
      <c r="A146" s="172" t="s">
        <v>724</v>
      </c>
      <c r="B146" s="173"/>
      <c r="C146" s="173"/>
      <c r="D146" s="174" t="s">
        <v>761</v>
      </c>
      <c r="E146" s="374">
        <f>1.5*E145</f>
        <v>314.28571428571428</v>
      </c>
      <c r="F146" s="175"/>
      <c r="G146" s="108" t="s">
        <v>536</v>
      </c>
      <c r="H146" s="173"/>
      <c r="I146" s="176"/>
    </row>
    <row r="147" spans="1:14" ht="12.2" customHeight="1">
      <c r="A147" s="128"/>
      <c r="B147" s="129"/>
      <c r="C147" s="129"/>
      <c r="D147" s="130"/>
      <c r="E147" s="177"/>
      <c r="F147" s="132"/>
      <c r="G147" s="129"/>
      <c r="H147" s="132"/>
      <c r="I147" s="133"/>
      <c r="M147" s="83" t="s">
        <v>1496</v>
      </c>
    </row>
    <row r="148" spans="1:14" ht="12.75" customHeight="1">
      <c r="A148" s="178"/>
      <c r="B148" s="179"/>
      <c r="C148" s="179"/>
      <c r="D148" s="180"/>
      <c r="E148" s="181"/>
      <c r="F148" s="179"/>
      <c r="G148" s="129"/>
      <c r="H148" s="179"/>
      <c r="I148" s="182"/>
      <c r="M148" s="989" t="s">
        <v>1499</v>
      </c>
      <c r="N148" s="380">
        <f>VLOOKUP($I$25,boltdimension,4)</f>
        <v>24</v>
      </c>
    </row>
    <row r="149" spans="1:14" ht="12.75" customHeight="1">
      <c r="A149" s="178"/>
      <c r="B149" s="179"/>
      <c r="C149" s="179"/>
      <c r="D149" s="180"/>
      <c r="E149" s="181"/>
      <c r="F149" s="179"/>
      <c r="G149" s="129"/>
      <c r="H149" s="179"/>
      <c r="I149" s="182"/>
      <c r="M149" s="83" t="s">
        <v>1135</v>
      </c>
      <c r="N149" s="988">
        <f>(E10-E12)/2</f>
        <v>29.5</v>
      </c>
    </row>
    <row r="150" spans="1:14" ht="12.75" customHeight="1">
      <c r="A150" s="178"/>
      <c r="B150" s="179"/>
      <c r="C150" s="179"/>
      <c r="D150" s="180"/>
      <c r="E150" s="181"/>
      <c r="F150" s="179"/>
      <c r="G150" s="129"/>
      <c r="H150" s="179"/>
      <c r="I150" s="182"/>
      <c r="M150" s="83" t="s">
        <v>1497</v>
      </c>
      <c r="N150" s="380">
        <f>VLOOKUP($I$25,boltdimension,28)</f>
        <v>28.58</v>
      </c>
    </row>
    <row r="151" spans="1:14" ht="12.75" customHeight="1">
      <c r="A151" s="178"/>
      <c r="B151" s="179"/>
      <c r="C151" s="179"/>
      <c r="D151" s="180"/>
      <c r="E151" s="181"/>
      <c r="F151" s="179"/>
      <c r="G151" s="129"/>
      <c r="H151" s="179"/>
      <c r="I151" s="182"/>
      <c r="M151" s="83" t="s">
        <v>407</v>
      </c>
      <c r="N151" s="988">
        <f>(E12-E11)/2-E17</f>
        <v>38</v>
      </c>
    </row>
    <row r="152" spans="1:14" ht="12.75" customHeight="1">
      <c r="A152" s="178"/>
      <c r="B152" s="179"/>
      <c r="C152" s="179"/>
      <c r="D152" s="180"/>
      <c r="E152" s="181"/>
      <c r="F152" s="179"/>
      <c r="G152" s="129"/>
      <c r="H152" s="179"/>
      <c r="I152" s="182"/>
      <c r="M152" s="83" t="s">
        <v>1498</v>
      </c>
      <c r="N152" s="380">
        <f>VLOOKUP($I$25,boltdimension,26)</f>
        <v>36.51</v>
      </c>
    </row>
    <row r="153" spans="1:14" ht="12.75" customHeight="1">
      <c r="A153" s="178"/>
      <c r="B153" s="179"/>
      <c r="C153" s="179"/>
      <c r="D153" s="180"/>
      <c r="E153" s="181"/>
      <c r="F153" s="179"/>
      <c r="G153" s="129"/>
      <c r="H153" s="179"/>
      <c r="I153" s="182"/>
    </row>
    <row r="154" spans="1:14" ht="12.75" customHeight="1">
      <c r="A154" s="178"/>
      <c r="B154" s="179"/>
      <c r="C154" s="179"/>
      <c r="D154" s="180"/>
      <c r="E154" s="181"/>
      <c r="F154" s="179"/>
      <c r="G154" s="129"/>
      <c r="H154" s="179"/>
      <c r="I154" s="182"/>
    </row>
    <row r="155" spans="1:14" ht="12.75" customHeight="1">
      <c r="A155" s="178"/>
      <c r="B155" s="179"/>
      <c r="C155" s="179"/>
      <c r="D155" s="180"/>
      <c r="E155" s="181"/>
      <c r="F155" s="179"/>
      <c r="G155" s="129"/>
      <c r="H155" s="179"/>
      <c r="I155" s="182"/>
    </row>
    <row r="156" spans="1:14" ht="12.75" customHeight="1">
      <c r="A156" s="178"/>
      <c r="B156" s="179"/>
      <c r="C156" s="179"/>
      <c r="D156" s="180"/>
      <c r="E156" s="181"/>
      <c r="F156" s="179"/>
      <c r="G156" s="129"/>
      <c r="H156" s="179"/>
      <c r="I156" s="182"/>
    </row>
    <row r="157" spans="1:14" ht="12.75" customHeight="1">
      <c r="A157" s="178"/>
      <c r="B157" s="179"/>
      <c r="C157" s="179"/>
      <c r="D157" s="180"/>
      <c r="E157" s="181"/>
      <c r="F157" s="179"/>
      <c r="G157" s="129"/>
      <c r="H157" s="179"/>
      <c r="I157" s="182"/>
    </row>
    <row r="158" spans="1:14" ht="12.75" customHeight="1">
      <c r="A158" s="178"/>
      <c r="B158" s="179"/>
      <c r="C158" s="179"/>
      <c r="D158" s="180"/>
      <c r="E158" s="181"/>
      <c r="F158" s="179"/>
      <c r="G158" s="129"/>
      <c r="H158" s="179"/>
      <c r="I158" s="182"/>
    </row>
    <row r="159" spans="1:14" ht="12.75" customHeight="1">
      <c r="A159" s="178"/>
      <c r="B159" s="179"/>
      <c r="C159" s="179"/>
      <c r="D159" s="180"/>
      <c r="E159" s="181"/>
      <c r="F159" s="179"/>
      <c r="G159" s="129"/>
      <c r="H159" s="179"/>
      <c r="I159" s="182"/>
    </row>
    <row r="160" spans="1:14" ht="12.75" customHeight="1">
      <c r="A160" s="178"/>
      <c r="B160" s="179"/>
      <c r="C160" s="179"/>
      <c r="D160" s="180"/>
      <c r="E160" s="181"/>
      <c r="F160" s="179"/>
      <c r="G160" s="129"/>
      <c r="H160" s="179"/>
      <c r="I160" s="182"/>
    </row>
    <row r="161" spans="1:10" ht="12.75" customHeight="1">
      <c r="A161" s="178"/>
      <c r="B161" s="179"/>
      <c r="C161" s="179"/>
      <c r="D161" s="180"/>
      <c r="E161" s="181"/>
      <c r="F161" s="179"/>
      <c r="G161" s="129"/>
      <c r="H161" s="179"/>
      <c r="I161" s="182"/>
    </row>
    <row r="162" spans="1:10" ht="12.75" customHeight="1">
      <c r="A162" s="178"/>
      <c r="B162" s="179"/>
      <c r="C162" s="179"/>
      <c r="D162" s="180"/>
      <c r="E162" s="181"/>
      <c r="F162" s="179"/>
      <c r="G162" s="129"/>
      <c r="H162" s="179"/>
      <c r="I162" s="182"/>
    </row>
    <row r="163" spans="1:10" ht="12.75" customHeight="1">
      <c r="A163" s="178"/>
      <c r="B163" s="179"/>
      <c r="C163" s="179"/>
      <c r="D163" s="180"/>
      <c r="E163" s="181"/>
      <c r="F163" s="179"/>
      <c r="G163" s="129"/>
      <c r="H163" s="179"/>
      <c r="I163" s="182"/>
    </row>
    <row r="164" spans="1:10" ht="12.75" customHeight="1">
      <c r="A164" s="178"/>
      <c r="B164" s="179"/>
      <c r="C164" s="179"/>
      <c r="D164" s="180"/>
      <c r="E164" s="181"/>
      <c r="F164" s="179"/>
      <c r="G164" s="129"/>
      <c r="H164" s="179"/>
      <c r="I164" s="182"/>
    </row>
    <row r="165" spans="1:10" ht="12.75" customHeight="1">
      <c r="A165" s="178"/>
      <c r="B165" s="179"/>
      <c r="C165" s="179"/>
      <c r="D165" s="180"/>
      <c r="E165" s="181"/>
      <c r="F165" s="179"/>
      <c r="G165" s="129"/>
      <c r="H165" s="179"/>
      <c r="I165" s="182"/>
    </row>
    <row r="166" spans="1:10" ht="12.75" customHeight="1">
      <c r="A166" s="178"/>
      <c r="B166" s="179"/>
      <c r="C166" s="179"/>
      <c r="D166" s="180"/>
      <c r="E166" s="181"/>
      <c r="F166" s="179"/>
      <c r="G166" s="129"/>
      <c r="H166" s="179"/>
      <c r="I166" s="182"/>
    </row>
    <row r="167" spans="1:10" ht="12.75" customHeight="1">
      <c r="A167" s="178"/>
      <c r="B167" s="179"/>
      <c r="C167" s="179"/>
      <c r="D167" s="180"/>
      <c r="E167" s="181"/>
      <c r="F167" s="179"/>
      <c r="G167" s="129"/>
      <c r="H167" s="179"/>
      <c r="I167" s="182"/>
    </row>
    <row r="168" spans="1:10" ht="12.75" customHeight="1">
      <c r="A168" s="178"/>
      <c r="B168" s="179"/>
      <c r="C168" s="179"/>
      <c r="D168" s="180"/>
      <c r="E168" s="181"/>
      <c r="F168" s="179"/>
      <c r="G168" s="129"/>
      <c r="H168" s="179"/>
      <c r="I168" s="182"/>
    </row>
    <row r="169" spans="1:10" ht="12.75" customHeight="1">
      <c r="A169" s="178"/>
      <c r="B169" s="179"/>
      <c r="C169" s="179"/>
      <c r="D169" s="180"/>
      <c r="E169" s="181"/>
      <c r="F169" s="179"/>
      <c r="G169" s="129"/>
      <c r="H169" s="179"/>
      <c r="I169" s="182"/>
    </row>
    <row r="170" spans="1:10" ht="12.2" customHeight="1">
      <c r="A170" s="128"/>
      <c r="B170" s="129"/>
      <c r="C170" s="129"/>
      <c r="D170" s="130"/>
      <c r="E170" s="177"/>
      <c r="F170" s="132"/>
      <c r="G170" s="129"/>
      <c r="H170" s="132"/>
      <c r="I170" s="133"/>
    </row>
    <row r="171" spans="1:10" ht="12.75" customHeight="1">
      <c r="A171" s="87" t="s">
        <v>590</v>
      </c>
      <c r="B171" s="139" t="str">
        <f>B55</f>
        <v>Vessel Engineering Software</v>
      </c>
      <c r="C171" s="88"/>
      <c r="D171" s="88"/>
      <c r="E171" s="88"/>
      <c r="F171" s="90" t="s">
        <v>592</v>
      </c>
      <c r="G171" s="139" t="str">
        <f>G55</f>
        <v>P3350</v>
      </c>
      <c r="H171" s="88"/>
      <c r="I171" s="92"/>
    </row>
    <row r="172" spans="1:10" ht="12.75" customHeight="1">
      <c r="A172" s="98" t="s">
        <v>594</v>
      </c>
      <c r="B172" s="145" t="str">
        <f>B56</f>
        <v>Zeeland Refinery</v>
      </c>
      <c r="C172" s="99"/>
      <c r="D172" s="99"/>
      <c r="E172" s="99"/>
      <c r="F172" s="101" t="s">
        <v>596</v>
      </c>
      <c r="G172" s="145" t="str">
        <f>G56</f>
        <v>293H02</v>
      </c>
      <c r="H172" s="99"/>
      <c r="I172" s="102"/>
    </row>
    <row r="173" spans="1:10" ht="12.75" customHeight="1">
      <c r="A173" s="98" t="s">
        <v>598</v>
      </c>
      <c r="B173" s="145" t="str">
        <f>B57</f>
        <v>Vlissingen</v>
      </c>
      <c r="C173" s="99"/>
      <c r="D173" s="99"/>
      <c r="E173" s="99"/>
      <c r="F173" s="101" t="s">
        <v>600</v>
      </c>
      <c r="G173" s="145" t="str">
        <f>G57</f>
        <v>FLANGE pos 52</v>
      </c>
      <c r="H173" s="99"/>
      <c r="I173" s="102"/>
    </row>
    <row r="174" spans="1:10" ht="12.75" customHeight="1">
      <c r="A174" s="107" t="s">
        <v>602</v>
      </c>
      <c r="B174" s="167" t="str">
        <f>B58</f>
        <v>[13]</v>
      </c>
      <c r="C174" s="108"/>
      <c r="D174" s="108"/>
      <c r="E174" s="108"/>
      <c r="F174" s="168" t="s">
        <v>604</v>
      </c>
      <c r="G174" s="151">
        <f>G58</f>
        <v>0</v>
      </c>
      <c r="H174" s="1015">
        <f>H58</f>
        <v>41582</v>
      </c>
      <c r="I174" s="1016"/>
      <c r="J174" s="152"/>
    </row>
    <row r="175" spans="1:10" ht="12.75" customHeight="1">
      <c r="A175" s="153" t="s">
        <v>605</v>
      </c>
      <c r="B175" s="1013">
        <f ca="1">NOW()</f>
        <v>42277.628329629631</v>
      </c>
      <c r="C175" s="1014"/>
      <c r="D175" s="154" t="s">
        <v>606</v>
      </c>
      <c r="E175" s="155"/>
      <c r="F175" s="154" t="s">
        <v>607</v>
      </c>
      <c r="G175" s="169" t="str">
        <f>G59</f>
        <v>11.5</v>
      </c>
      <c r="H175" s="157" t="s">
        <v>609</v>
      </c>
      <c r="I175" s="158">
        <f>I59+2</f>
        <v>3</v>
      </c>
    </row>
  </sheetData>
  <mergeCells count="6">
    <mergeCell ref="B175:C175"/>
    <mergeCell ref="H58:I58"/>
    <mergeCell ref="H174:I174"/>
    <mergeCell ref="H116:I116"/>
    <mergeCell ref="B59:C59"/>
    <mergeCell ref="B117:C117"/>
  </mergeCells>
  <phoneticPr fontId="7" type="noConversion"/>
  <conditionalFormatting sqref="E122">
    <cfRule type="cellIs" dxfId="27" priority="1" stopIfTrue="1" operator="greaterThan">
      <formula>$E$128</formula>
    </cfRule>
  </conditionalFormatting>
  <conditionalFormatting sqref="E123:E126">
    <cfRule type="cellIs" dxfId="26" priority="2" stopIfTrue="1" operator="greaterThan">
      <formula>$E$127</formula>
    </cfRule>
  </conditionalFormatting>
  <conditionalFormatting sqref="E131">
    <cfRule type="cellIs" dxfId="25" priority="3" stopIfTrue="1" operator="greaterThan">
      <formula>$E$137</formula>
    </cfRule>
  </conditionalFormatting>
  <conditionalFormatting sqref="E132:E135">
    <cfRule type="cellIs" dxfId="24" priority="4" stopIfTrue="1" operator="greaterThan">
      <formula>$E$136</formula>
    </cfRule>
  </conditionalFormatting>
  <conditionalFormatting sqref="E140">
    <cfRule type="cellIs" dxfId="23" priority="5" stopIfTrue="1" operator="greaterThan">
      <formula>$E$146</formula>
    </cfRule>
  </conditionalFormatting>
  <conditionalFormatting sqref="E141:E144">
    <cfRule type="cellIs" dxfId="22" priority="6" stopIfTrue="1" operator="greaterThan">
      <formula>$E$145</formula>
    </cfRule>
  </conditionalFormatting>
  <printOptions horizontalCentered="1" verticalCentered="1"/>
  <pageMargins left="0" right="0" top="0" bottom="0" header="0" footer="0"/>
  <pageSetup paperSize="9" orientation="portrait" horizontalDpi="4294967294" verticalDpi="300" r:id="rId1"/>
  <headerFooter alignWithMargins="0"/>
  <rowBreaks count="3" manualBreakCount="3">
    <brk id="59" max="16383" man="1"/>
    <brk id="117" max="16383" man="1"/>
    <brk id="175" max="16383" man="1"/>
  </rowBreaks>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41" r:id="rId4" name="Drop Down 1">
              <controlPr defaultSize="0" autoLine="0" autoPict="0">
                <anchor moveWithCells="1">
                  <from>
                    <xdr:col>4</xdr:col>
                    <xdr:colOff>38100</xdr:colOff>
                    <xdr:row>30</xdr:row>
                    <xdr:rowOff>19050</xdr:rowOff>
                  </from>
                  <to>
                    <xdr:col>7</xdr:col>
                    <xdr:colOff>504825</xdr:colOff>
                    <xdr:row>30</xdr:row>
                    <xdr:rowOff>219075</xdr:rowOff>
                  </to>
                </anchor>
              </controlPr>
            </control>
          </mc:Choice>
        </mc:AlternateContent>
        <mc:AlternateContent xmlns:mc="http://schemas.openxmlformats.org/markup-compatibility/2006">
          <mc:Choice Requires="x14">
            <control shapeId="10243" r:id="rId5" name="Drop Down 3">
              <controlPr defaultSize="0" autoLine="0" autoPict="0">
                <anchor moveWithCells="1">
                  <from>
                    <xdr:col>4</xdr:col>
                    <xdr:colOff>28575</xdr:colOff>
                    <xdr:row>23</xdr:row>
                    <xdr:rowOff>152400</xdr:rowOff>
                  </from>
                  <to>
                    <xdr:col>5</xdr:col>
                    <xdr:colOff>0</xdr:colOff>
                    <xdr:row>24</xdr:row>
                    <xdr:rowOff>190500</xdr:rowOff>
                  </to>
                </anchor>
              </controlPr>
            </control>
          </mc:Choice>
        </mc:AlternateContent>
        <mc:AlternateContent xmlns:mc="http://schemas.openxmlformats.org/markup-compatibility/2006">
          <mc:Choice Requires="x14">
            <control shapeId="10245" r:id="rId6" name="Button 5">
              <controlPr defaultSize="0" print="0" autoFill="0" autoPict="0" macro="[0]!berekenfactoren2">
                <anchor moveWithCells="1" sizeWithCells="1">
                  <from>
                    <xdr:col>10</xdr:col>
                    <xdr:colOff>209550</xdr:colOff>
                    <xdr:row>103</xdr:row>
                    <xdr:rowOff>19050</xdr:rowOff>
                  </from>
                  <to>
                    <xdr:col>12</xdr:col>
                    <xdr:colOff>28575</xdr:colOff>
                    <xdr:row>104</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U117"/>
  <sheetViews>
    <sheetView showGridLines="0" zoomScaleNormal="100" workbookViewId="0">
      <selection activeCell="D16" sqref="D16"/>
    </sheetView>
  </sheetViews>
  <sheetFormatPr defaultRowHeight="12.75" customHeight="1"/>
  <cols>
    <col min="1" max="4" width="9.140625" style="717" customWidth="1"/>
    <col min="5" max="5" width="17.5703125" style="717" customWidth="1"/>
    <col min="6" max="9" width="9.140625" style="717" customWidth="1"/>
    <col min="10" max="10" width="5" style="717" customWidth="1"/>
    <col min="11" max="11" width="9.140625" style="717" customWidth="1"/>
    <col min="12" max="12" width="10.28515625" style="717" customWidth="1"/>
    <col min="13" max="13" width="16.5703125" style="717" customWidth="1"/>
    <col min="14" max="15" width="9.140625" style="717" customWidth="1"/>
    <col min="16" max="16" width="6.85546875" style="717" customWidth="1"/>
    <col min="17" max="17" width="15.85546875" style="717" customWidth="1"/>
    <col min="18" max="16384" width="9.140625" style="717"/>
  </cols>
  <sheetData>
    <row r="1" spans="1:10" ht="12.75" customHeight="1">
      <c r="A1" s="714" t="s">
        <v>1114</v>
      </c>
      <c r="B1" s="715"/>
      <c r="C1" s="714" t="s">
        <v>1244</v>
      </c>
      <c r="D1" s="716"/>
      <c r="E1" s="716"/>
      <c r="F1" s="716"/>
      <c r="G1" s="715"/>
      <c r="H1" s="714" t="s">
        <v>1245</v>
      </c>
      <c r="I1" s="716"/>
      <c r="J1" s="715"/>
    </row>
    <row r="2" spans="1:10" ht="12.75" customHeight="1">
      <c r="A2" s="718" t="s">
        <v>1117</v>
      </c>
      <c r="B2" s="719"/>
      <c r="C2" s="718" t="s">
        <v>1246</v>
      </c>
      <c r="D2" s="720"/>
      <c r="E2" s="720"/>
      <c r="F2" s="720"/>
      <c r="G2" s="719"/>
      <c r="H2" s="718" t="s">
        <v>1247</v>
      </c>
      <c r="I2" s="720"/>
      <c r="J2" s="719"/>
    </row>
    <row r="3" spans="1:10" ht="12.75" customHeight="1">
      <c r="A3" s="721" t="s">
        <v>535</v>
      </c>
      <c r="B3" s="722"/>
      <c r="C3" s="722"/>
      <c r="D3" s="723" t="s">
        <v>1248</v>
      </c>
      <c r="E3" s="853">
        <v>0.35</v>
      </c>
      <c r="F3" s="722"/>
      <c r="G3" s="722" t="s">
        <v>536</v>
      </c>
      <c r="H3" s="722"/>
      <c r="I3" s="722"/>
      <c r="J3" s="724"/>
    </row>
    <row r="4" spans="1:10" ht="12.75" customHeight="1">
      <c r="A4" s="725" t="s">
        <v>537</v>
      </c>
      <c r="B4" s="722"/>
      <c r="C4" s="722"/>
      <c r="D4" s="723" t="s">
        <v>1249</v>
      </c>
      <c r="E4" s="853">
        <v>0.64</v>
      </c>
      <c r="F4" s="722"/>
      <c r="G4" s="722" t="s">
        <v>536</v>
      </c>
      <c r="H4" s="722"/>
      <c r="I4" s="722"/>
      <c r="J4" s="724"/>
    </row>
    <row r="5" spans="1:10" ht="12.75" customHeight="1">
      <c r="A5" s="726" t="s">
        <v>538</v>
      </c>
      <c r="B5" s="727"/>
      <c r="C5" s="727"/>
      <c r="D5" s="728" t="s">
        <v>421</v>
      </c>
      <c r="E5" s="854">
        <v>370</v>
      </c>
      <c r="F5" s="727"/>
      <c r="G5" s="727" t="s">
        <v>154</v>
      </c>
      <c r="H5" s="727"/>
      <c r="I5" s="727"/>
      <c r="J5" s="729"/>
    </row>
    <row r="6" spans="1:10" ht="12.75" customHeight="1">
      <c r="A6" s="730" t="s">
        <v>1128</v>
      </c>
      <c r="B6" s="722"/>
      <c r="C6" s="722"/>
      <c r="D6" s="723" t="s">
        <v>116</v>
      </c>
      <c r="E6" s="855" t="s">
        <v>541</v>
      </c>
      <c r="F6" s="722"/>
      <c r="G6" s="722" t="s">
        <v>116</v>
      </c>
      <c r="H6" s="722"/>
      <c r="I6" s="722"/>
      <c r="J6" s="724"/>
    </row>
    <row r="7" spans="1:10" ht="12.75" customHeight="1">
      <c r="A7" s="730" t="s">
        <v>1129</v>
      </c>
      <c r="B7" s="722"/>
      <c r="C7" s="722"/>
      <c r="D7" s="723" t="s">
        <v>212</v>
      </c>
      <c r="E7" s="856">
        <v>177.2</v>
      </c>
      <c r="F7" s="722"/>
      <c r="G7" s="722" t="s">
        <v>536</v>
      </c>
      <c r="H7" s="722"/>
      <c r="I7" s="722"/>
      <c r="J7" s="724"/>
    </row>
    <row r="8" spans="1:10" ht="12.75" customHeight="1">
      <c r="A8" s="730" t="s">
        <v>1130</v>
      </c>
      <c r="B8" s="722"/>
      <c r="C8" s="722"/>
      <c r="D8" s="723" t="s">
        <v>1131</v>
      </c>
      <c r="E8" s="856">
        <v>250</v>
      </c>
      <c r="F8" s="722"/>
      <c r="G8" s="722" t="s">
        <v>536</v>
      </c>
      <c r="H8" s="722"/>
      <c r="I8" s="722"/>
      <c r="J8" s="724"/>
    </row>
    <row r="9" spans="1:10" ht="12.75" customHeight="1">
      <c r="A9" s="730" t="s">
        <v>1149</v>
      </c>
      <c r="B9" s="722"/>
      <c r="C9" s="722"/>
      <c r="D9" s="723" t="s">
        <v>1068</v>
      </c>
      <c r="E9" s="855">
        <v>1.5</v>
      </c>
      <c r="F9" s="722"/>
      <c r="G9" s="722" t="s">
        <v>116</v>
      </c>
      <c r="H9" s="722"/>
      <c r="I9" s="722"/>
      <c r="J9" s="724"/>
    </row>
    <row r="10" spans="1:10" ht="12.75" customHeight="1">
      <c r="A10" s="730" t="s">
        <v>1133</v>
      </c>
      <c r="B10" s="722"/>
      <c r="C10" s="722"/>
      <c r="D10" s="723" t="s">
        <v>1134</v>
      </c>
      <c r="E10" s="855">
        <v>1.1000000000000001</v>
      </c>
      <c r="F10" s="722"/>
      <c r="G10" s="722" t="s">
        <v>116</v>
      </c>
      <c r="H10" s="722"/>
      <c r="I10" s="722"/>
      <c r="J10" s="724"/>
    </row>
    <row r="11" spans="1:10" ht="12.75" customHeight="1">
      <c r="A11" s="730" t="s">
        <v>1250</v>
      </c>
      <c r="B11" s="722"/>
      <c r="C11" s="722"/>
      <c r="D11" s="723" t="s">
        <v>1135</v>
      </c>
      <c r="E11" s="855">
        <v>185400</v>
      </c>
      <c r="F11" s="722"/>
      <c r="G11" s="722" t="s">
        <v>536</v>
      </c>
      <c r="H11" s="722"/>
      <c r="I11" s="722"/>
      <c r="J11" s="724"/>
    </row>
    <row r="12" spans="1:10" ht="12.75" customHeight="1">
      <c r="A12" s="730" t="s">
        <v>1251</v>
      </c>
      <c r="B12" s="722"/>
      <c r="C12" s="722"/>
      <c r="D12" s="723" t="s">
        <v>65</v>
      </c>
      <c r="E12" s="855">
        <v>1710</v>
      </c>
      <c r="F12" s="722"/>
      <c r="G12" s="722" t="s">
        <v>104</v>
      </c>
      <c r="H12" s="722"/>
      <c r="I12" s="722"/>
      <c r="J12" s="724"/>
    </row>
    <row r="13" spans="1:10" ht="12.75" customHeight="1">
      <c r="A13" s="730" t="s">
        <v>550</v>
      </c>
      <c r="B13" s="722"/>
      <c r="C13" s="722"/>
      <c r="D13" s="723" t="s">
        <v>67</v>
      </c>
      <c r="E13" s="855">
        <v>1660</v>
      </c>
      <c r="F13" s="722"/>
      <c r="G13" s="722" t="s">
        <v>104</v>
      </c>
      <c r="H13" s="722"/>
      <c r="I13" s="722"/>
      <c r="J13" s="724"/>
    </row>
    <row r="14" spans="1:10" ht="12.75" customHeight="1">
      <c r="A14" s="730" t="s">
        <v>1190</v>
      </c>
      <c r="B14" s="722"/>
      <c r="C14" s="722"/>
      <c r="D14" s="723" t="s">
        <v>1191</v>
      </c>
      <c r="E14" s="855">
        <v>1600</v>
      </c>
      <c r="F14" s="722"/>
      <c r="G14" s="722" t="s">
        <v>104</v>
      </c>
      <c r="H14" s="722"/>
      <c r="I14" s="722"/>
      <c r="J14" s="724"/>
    </row>
    <row r="15" spans="1:10" ht="12.75" customHeight="1">
      <c r="A15" s="730" t="s">
        <v>1252</v>
      </c>
      <c r="B15" s="722"/>
      <c r="C15" s="722"/>
      <c r="D15" s="723" t="s">
        <v>66</v>
      </c>
      <c r="E15" s="855">
        <v>1550</v>
      </c>
      <c r="F15" s="722"/>
      <c r="G15" s="722" t="s">
        <v>104</v>
      </c>
      <c r="H15" s="722"/>
      <c r="I15" s="722"/>
      <c r="J15" s="724"/>
    </row>
    <row r="16" spans="1:10" ht="12.75" customHeight="1">
      <c r="A16" s="730" t="s">
        <v>560</v>
      </c>
      <c r="B16" s="722"/>
      <c r="C16" s="722"/>
      <c r="D16" s="723" t="s">
        <v>218</v>
      </c>
      <c r="E16" s="855">
        <v>40</v>
      </c>
      <c r="F16" s="722"/>
      <c r="G16" s="722" t="s">
        <v>104</v>
      </c>
      <c r="H16" s="722"/>
      <c r="I16" s="722"/>
      <c r="J16" s="724"/>
    </row>
    <row r="17" spans="1:13" ht="12.75" customHeight="1">
      <c r="A17" s="730" t="s">
        <v>1192</v>
      </c>
      <c r="B17" s="722"/>
      <c r="C17" s="722"/>
      <c r="D17" s="723" t="s">
        <v>64</v>
      </c>
      <c r="E17" s="855">
        <v>94</v>
      </c>
      <c r="F17" s="722"/>
      <c r="G17" s="722" t="s">
        <v>104</v>
      </c>
      <c r="H17" s="722"/>
      <c r="I17" s="722"/>
      <c r="J17" s="724"/>
    </row>
    <row r="18" spans="1:13" ht="12.75" customHeight="1">
      <c r="A18" s="730" t="s">
        <v>1193</v>
      </c>
      <c r="B18" s="722"/>
      <c r="C18" s="722"/>
      <c r="D18" s="723" t="s">
        <v>69</v>
      </c>
      <c r="E18" s="855">
        <v>16</v>
      </c>
      <c r="F18" s="722"/>
      <c r="G18" s="722" t="s">
        <v>104</v>
      </c>
      <c r="H18" s="722"/>
      <c r="I18" s="722"/>
      <c r="J18" s="724"/>
    </row>
    <row r="19" spans="1:13" ht="12.75" customHeight="1">
      <c r="A19" s="730" t="s">
        <v>1253</v>
      </c>
      <c r="B19" s="722"/>
      <c r="C19" s="722"/>
      <c r="D19" s="723" t="s">
        <v>70</v>
      </c>
      <c r="E19" s="855">
        <v>25</v>
      </c>
      <c r="F19" s="722"/>
      <c r="G19" s="722" t="s">
        <v>104</v>
      </c>
      <c r="H19" s="722"/>
      <c r="I19" s="722"/>
      <c r="J19" s="724"/>
    </row>
    <row r="20" spans="1:13" ht="12.75" customHeight="1">
      <c r="A20" s="730" t="s">
        <v>1254</v>
      </c>
      <c r="B20" s="722"/>
      <c r="C20" s="722"/>
      <c r="D20" s="723" t="s">
        <v>1255</v>
      </c>
      <c r="E20" s="855">
        <v>0</v>
      </c>
      <c r="F20" s="722"/>
      <c r="G20" s="722" t="s">
        <v>104</v>
      </c>
      <c r="H20" s="722"/>
      <c r="I20" s="722"/>
      <c r="J20" s="724"/>
    </row>
    <row r="21" spans="1:13" ht="12.75" customHeight="1">
      <c r="A21" s="731" t="s">
        <v>553</v>
      </c>
      <c r="B21" s="732"/>
      <c r="C21" s="732"/>
      <c r="D21" s="733" t="s">
        <v>1144</v>
      </c>
      <c r="E21" s="857">
        <v>6</v>
      </c>
      <c r="F21" s="732"/>
      <c r="G21" s="732" t="s">
        <v>104</v>
      </c>
      <c r="H21" s="732"/>
      <c r="I21" s="732"/>
      <c r="J21" s="734"/>
    </row>
    <row r="22" spans="1:13" ht="12.75" customHeight="1">
      <c r="A22" s="735" t="s">
        <v>1145</v>
      </c>
      <c r="B22" s="736"/>
      <c r="C22" s="736"/>
      <c r="D22" s="737"/>
      <c r="E22" s="738"/>
      <c r="F22" s="736"/>
      <c r="G22" s="736"/>
      <c r="H22" s="736"/>
      <c r="I22" s="736"/>
      <c r="J22" s="739"/>
    </row>
    <row r="23" spans="1:13" ht="12.75" customHeight="1">
      <c r="A23" s="740" t="s">
        <v>1128</v>
      </c>
      <c r="B23" s="741"/>
      <c r="C23" s="741"/>
      <c r="D23" s="742"/>
      <c r="E23" s="864" t="s">
        <v>563</v>
      </c>
      <c r="F23" s="741"/>
      <c r="G23" s="741" t="s">
        <v>116</v>
      </c>
      <c r="H23" s="741"/>
      <c r="I23" s="741"/>
      <c r="J23" s="743"/>
    </row>
    <row r="24" spans="1:13" ht="12.75" customHeight="1">
      <c r="A24" s="730" t="s">
        <v>1129</v>
      </c>
      <c r="B24" s="722"/>
      <c r="C24" s="722"/>
      <c r="D24" s="744" t="s">
        <v>212</v>
      </c>
      <c r="E24" s="874">
        <v>387</v>
      </c>
      <c r="F24" s="722"/>
      <c r="G24" s="722" t="s">
        <v>536</v>
      </c>
      <c r="H24" s="722"/>
      <c r="I24" s="722"/>
      <c r="J24" s="724"/>
    </row>
    <row r="25" spans="1:13" ht="12.75" customHeight="1">
      <c r="A25" s="730" t="s">
        <v>1130</v>
      </c>
      <c r="B25" s="722"/>
      <c r="C25" s="722"/>
      <c r="D25" s="745" t="s">
        <v>1131</v>
      </c>
      <c r="E25" s="868">
        <v>725</v>
      </c>
      <c r="F25" s="746"/>
      <c r="G25" s="746" t="s">
        <v>536</v>
      </c>
      <c r="H25" s="746"/>
      <c r="I25" s="746"/>
      <c r="J25" s="747"/>
    </row>
    <row r="26" spans="1:13" ht="12.75" customHeight="1">
      <c r="A26" s="730" t="s">
        <v>1149</v>
      </c>
      <c r="B26" s="722"/>
      <c r="C26" s="722"/>
      <c r="D26" s="723" t="s">
        <v>1068</v>
      </c>
      <c r="E26" s="899">
        <v>1.8</v>
      </c>
      <c r="F26" s="746"/>
      <c r="G26" s="748" t="s">
        <v>1256</v>
      </c>
      <c r="H26" s="748"/>
      <c r="I26" s="746"/>
      <c r="J26" s="747"/>
      <c r="K26" s="907" t="s">
        <v>1376</v>
      </c>
    </row>
    <row r="27" spans="1:13" ht="12.75" customHeight="1">
      <c r="A27" s="730" t="s">
        <v>1133</v>
      </c>
      <c r="B27" s="722"/>
      <c r="C27" s="722"/>
      <c r="D27" s="723" t="s">
        <v>1134</v>
      </c>
      <c r="E27" s="899">
        <v>1.3</v>
      </c>
      <c r="F27" s="746"/>
      <c r="G27" s="748" t="s">
        <v>1257</v>
      </c>
      <c r="H27" s="746"/>
      <c r="I27" s="746"/>
      <c r="J27" s="747"/>
      <c r="K27" s="907" t="s">
        <v>1376</v>
      </c>
    </row>
    <row r="28" spans="1:13" ht="12.75" customHeight="1">
      <c r="A28" s="749" t="s">
        <v>567</v>
      </c>
      <c r="B28" s="746"/>
      <c r="C28" s="746"/>
      <c r="D28" s="745" t="s">
        <v>1152</v>
      </c>
      <c r="E28" s="865">
        <v>40</v>
      </c>
      <c r="F28" s="746"/>
      <c r="G28" s="746" t="s">
        <v>116</v>
      </c>
      <c r="H28" s="746"/>
      <c r="I28" s="746"/>
      <c r="J28" s="747"/>
    </row>
    <row r="29" spans="1:13" ht="17.25" customHeight="1">
      <c r="A29" s="93" t="s">
        <v>789</v>
      </c>
      <c r="B29" s="99"/>
      <c r="C29" s="99"/>
      <c r="D29" s="394"/>
      <c r="E29" s="393"/>
      <c r="F29" s="395"/>
      <c r="G29" s="746"/>
      <c r="H29" s="746"/>
      <c r="I29" s="746"/>
      <c r="J29" s="747"/>
      <c r="K29" s="920">
        <v>3</v>
      </c>
    </row>
    <row r="30" spans="1:13" ht="12.75" customHeight="1">
      <c r="A30" s="749" t="s">
        <v>1258</v>
      </c>
      <c r="B30" s="746"/>
      <c r="C30" s="746"/>
      <c r="D30" s="745" t="s">
        <v>1154</v>
      </c>
      <c r="E30" s="860">
        <f>VLOOKUP($K$29,boltdimension,4)</f>
        <v>19.05</v>
      </c>
      <c r="F30" s="746"/>
      <c r="G30" s="746" t="s">
        <v>104</v>
      </c>
      <c r="H30" s="746"/>
      <c r="I30" s="746"/>
      <c r="J30" s="747"/>
    </row>
    <row r="31" spans="1:13" ht="12.75" customHeight="1">
      <c r="A31" s="730" t="s">
        <v>952</v>
      </c>
      <c r="B31" s="722"/>
      <c r="C31" s="722"/>
      <c r="D31" s="723" t="s">
        <v>82</v>
      </c>
      <c r="E31" s="865">
        <v>23</v>
      </c>
      <c r="F31" s="746"/>
      <c r="G31" s="746" t="s">
        <v>104</v>
      </c>
      <c r="H31" s="746"/>
      <c r="I31" s="746"/>
      <c r="J31" s="747"/>
      <c r="K31" s="378">
        <f>VLOOKUP($K$29,boltdimension,13)</f>
        <v>22.2</v>
      </c>
      <c r="M31" s="907" t="s">
        <v>1364</v>
      </c>
    </row>
    <row r="32" spans="1:13" ht="12.75" customHeight="1">
      <c r="A32" s="749" t="s">
        <v>1259</v>
      </c>
      <c r="B32" s="746"/>
      <c r="C32" s="746"/>
      <c r="D32" s="745" t="s">
        <v>822</v>
      </c>
      <c r="E32" s="861">
        <f>VLOOKUP($K$29,boltdimension,10)</f>
        <v>194.83831999999998</v>
      </c>
      <c r="F32" s="746"/>
      <c r="G32" s="722" t="s">
        <v>571</v>
      </c>
      <c r="H32" s="746"/>
      <c r="I32" s="746"/>
      <c r="J32" s="747"/>
      <c r="M32" s="907" t="s">
        <v>1362</v>
      </c>
    </row>
    <row r="33" spans="1:13" ht="12.75" customHeight="1">
      <c r="A33" s="730" t="s">
        <v>1260</v>
      </c>
      <c r="B33" s="722"/>
      <c r="C33" s="722"/>
      <c r="D33" s="723" t="s">
        <v>698</v>
      </c>
      <c r="E33" s="855">
        <v>1</v>
      </c>
      <c r="F33" s="722"/>
      <c r="G33" s="722" t="s">
        <v>116</v>
      </c>
      <c r="H33" s="722"/>
      <c r="I33" s="722"/>
      <c r="J33" s="724"/>
      <c r="M33" s="907" t="s">
        <v>1363</v>
      </c>
    </row>
    <row r="34" spans="1:13" ht="12.75" customHeight="1">
      <c r="A34" s="750" t="s">
        <v>1261</v>
      </c>
      <c r="B34" s="751"/>
      <c r="C34" s="751"/>
      <c r="D34" s="752" t="s">
        <v>1262</v>
      </c>
      <c r="E34" s="872">
        <v>2000000</v>
      </c>
      <c r="F34" s="751"/>
      <c r="G34" s="751" t="s">
        <v>517</v>
      </c>
      <c r="H34" s="751"/>
      <c r="I34" s="751"/>
      <c r="J34" s="753"/>
      <c r="K34" s="907" t="s">
        <v>1400</v>
      </c>
    </row>
    <row r="35" spans="1:13" ht="12.75" customHeight="1">
      <c r="A35" s="726" t="s">
        <v>1263</v>
      </c>
      <c r="B35" s="727"/>
      <c r="C35" s="727"/>
      <c r="D35" s="754"/>
      <c r="E35" s="873" t="s">
        <v>1264</v>
      </c>
      <c r="F35" s="727"/>
      <c r="G35" s="755"/>
      <c r="H35" s="755"/>
      <c r="I35" s="727"/>
      <c r="J35" s="729"/>
    </row>
    <row r="36" spans="1:13" ht="12.75" customHeight="1">
      <c r="A36" s="735" t="s">
        <v>1265</v>
      </c>
      <c r="B36" s="736"/>
      <c r="C36" s="736"/>
      <c r="D36" s="737"/>
      <c r="E36" s="738"/>
      <c r="F36" s="736"/>
      <c r="G36" s="736"/>
      <c r="H36" s="736"/>
      <c r="I36" s="736"/>
      <c r="J36" s="739"/>
    </row>
    <row r="37" spans="1:13" ht="12.75" customHeight="1">
      <c r="A37" s="740" t="s">
        <v>963</v>
      </c>
      <c r="B37" s="741"/>
      <c r="C37" s="741"/>
      <c r="D37" s="742" t="s">
        <v>1266</v>
      </c>
      <c r="E37" s="864">
        <v>20</v>
      </c>
      <c r="F37" s="741"/>
      <c r="G37" s="741" t="s">
        <v>104</v>
      </c>
      <c r="H37" s="741"/>
      <c r="I37" s="741"/>
      <c r="J37" s="743"/>
    </row>
    <row r="38" spans="1:13" ht="12.75" customHeight="1">
      <c r="A38" s="749" t="s">
        <v>964</v>
      </c>
      <c r="B38" s="746"/>
      <c r="C38" s="746"/>
      <c r="D38" s="745" t="s">
        <v>183</v>
      </c>
      <c r="E38" s="865">
        <v>3</v>
      </c>
      <c r="F38" s="746"/>
      <c r="G38" s="746" t="s">
        <v>104</v>
      </c>
      <c r="H38" s="746"/>
      <c r="I38" s="746"/>
      <c r="J38" s="747"/>
    </row>
    <row r="39" spans="1:13" ht="12.75" customHeight="1">
      <c r="A39" s="730" t="s">
        <v>1267</v>
      </c>
      <c r="B39" s="722"/>
      <c r="C39" s="722"/>
      <c r="D39" s="744" t="s">
        <v>1268</v>
      </c>
      <c r="E39" s="866">
        <v>1</v>
      </c>
      <c r="F39" s="722"/>
      <c r="G39" s="722" t="s">
        <v>116</v>
      </c>
      <c r="H39" s="756" t="s">
        <v>1269</v>
      </c>
      <c r="I39" s="722"/>
      <c r="J39" s="724"/>
    </row>
    <row r="40" spans="1:13" ht="12.75" customHeight="1">
      <c r="A40" s="730" t="s">
        <v>1270</v>
      </c>
      <c r="B40" s="722"/>
      <c r="C40" s="722"/>
      <c r="D40" s="744"/>
      <c r="E40" s="867" t="s">
        <v>1165</v>
      </c>
      <c r="F40" s="722"/>
      <c r="G40" s="722" t="s">
        <v>116</v>
      </c>
      <c r="H40" s="756" t="s">
        <v>1271</v>
      </c>
      <c r="I40" s="722"/>
      <c r="J40" s="724"/>
    </row>
    <row r="41" spans="1:13" ht="12.75" customHeight="1">
      <c r="A41" s="730" t="s">
        <v>1167</v>
      </c>
      <c r="B41" s="722"/>
      <c r="C41" s="722"/>
      <c r="D41" s="744"/>
      <c r="E41" s="866">
        <v>30</v>
      </c>
      <c r="F41" s="722"/>
      <c r="G41" s="722" t="s">
        <v>116</v>
      </c>
      <c r="H41" s="756" t="s">
        <v>1272</v>
      </c>
      <c r="I41" s="756"/>
      <c r="J41" s="724"/>
    </row>
    <row r="42" spans="1:13" ht="12.75" customHeight="1">
      <c r="A42" s="730" t="s">
        <v>1169</v>
      </c>
      <c r="B42" s="722"/>
      <c r="C42" s="722"/>
      <c r="D42" s="744"/>
      <c r="E42" s="866" t="s">
        <v>1170</v>
      </c>
      <c r="F42" s="722"/>
      <c r="G42" s="722"/>
      <c r="H42" s="756"/>
      <c r="I42" s="722"/>
      <c r="J42" s="724"/>
    </row>
    <row r="43" spans="1:13" ht="12.75" customHeight="1">
      <c r="A43" s="750" t="s">
        <v>1273</v>
      </c>
      <c r="B43" s="751"/>
      <c r="C43" s="751"/>
      <c r="D43" s="752" t="s">
        <v>1171</v>
      </c>
      <c r="E43" s="868">
        <v>22</v>
      </c>
      <c r="F43" s="746"/>
      <c r="G43" s="746" t="s">
        <v>104</v>
      </c>
      <c r="H43" s="748"/>
      <c r="I43" s="746"/>
      <c r="J43" s="747"/>
    </row>
    <row r="44" spans="1:13" ht="12.75" customHeight="1">
      <c r="A44" s="750" t="s">
        <v>1274</v>
      </c>
      <c r="B44" s="751"/>
      <c r="C44" s="751"/>
      <c r="D44" s="752" t="s">
        <v>1275</v>
      </c>
      <c r="E44" s="869">
        <v>22</v>
      </c>
      <c r="F44" s="732"/>
      <c r="G44" s="732" t="s">
        <v>104</v>
      </c>
      <c r="H44" s="757"/>
      <c r="I44" s="732"/>
      <c r="J44" s="734"/>
    </row>
    <row r="45" spans="1:13" ht="12.75" customHeight="1">
      <c r="A45" s="758" t="s">
        <v>1276</v>
      </c>
      <c r="B45" s="759"/>
      <c r="C45" s="759"/>
      <c r="D45" s="760" t="s">
        <v>1277</v>
      </c>
      <c r="E45" s="870">
        <v>300</v>
      </c>
      <c r="F45" s="759"/>
      <c r="G45" s="759" t="s">
        <v>1176</v>
      </c>
      <c r="H45" s="761"/>
      <c r="I45" s="759"/>
      <c r="J45" s="762"/>
    </row>
    <row r="46" spans="1:13" ht="12.75" customHeight="1">
      <c r="A46" s="730" t="s">
        <v>1278</v>
      </c>
      <c r="B46" s="722"/>
      <c r="C46" s="722"/>
      <c r="D46" s="744"/>
      <c r="E46" s="871">
        <v>0</v>
      </c>
      <c r="F46" s="722"/>
      <c r="G46" s="722" t="s">
        <v>116</v>
      </c>
      <c r="H46" s="756" t="s">
        <v>1272</v>
      </c>
      <c r="I46" s="722"/>
      <c r="J46" s="724"/>
    </row>
    <row r="47" spans="1:13" ht="12.75" customHeight="1">
      <c r="A47" s="730" t="s">
        <v>1279</v>
      </c>
      <c r="B47" s="722"/>
      <c r="C47" s="722"/>
      <c r="D47" s="744"/>
      <c r="E47" s="866" t="s">
        <v>1280</v>
      </c>
      <c r="F47" s="722"/>
      <c r="G47" s="722"/>
      <c r="H47" s="756"/>
      <c r="I47" s="722"/>
      <c r="J47" s="724"/>
    </row>
    <row r="48" spans="1:13" ht="12.75" customHeight="1">
      <c r="A48" s="749" t="s">
        <v>1281</v>
      </c>
      <c r="B48" s="746"/>
      <c r="C48" s="746"/>
      <c r="D48" s="745" t="s">
        <v>1185</v>
      </c>
      <c r="E48" s="868">
        <v>0</v>
      </c>
      <c r="F48" s="746"/>
      <c r="G48" s="746" t="s">
        <v>104</v>
      </c>
      <c r="H48" s="748"/>
      <c r="I48" s="746"/>
      <c r="J48" s="747"/>
    </row>
    <row r="49" spans="1:11" ht="12.75" customHeight="1">
      <c r="A49" s="750" t="s">
        <v>1282</v>
      </c>
      <c r="B49" s="746"/>
      <c r="C49" s="746"/>
      <c r="D49" s="745" t="s">
        <v>1189</v>
      </c>
      <c r="E49" s="868">
        <v>0</v>
      </c>
      <c r="F49" s="746"/>
      <c r="G49" s="746" t="s">
        <v>536</v>
      </c>
      <c r="H49" s="748"/>
      <c r="I49" s="746"/>
      <c r="J49" s="747"/>
    </row>
    <row r="50" spans="1:11" ht="12.75" customHeight="1">
      <c r="A50" s="749" t="s">
        <v>1283</v>
      </c>
      <c r="B50" s="746"/>
      <c r="C50" s="746"/>
      <c r="D50" s="745" t="s">
        <v>1187</v>
      </c>
      <c r="E50" s="868">
        <v>0</v>
      </c>
      <c r="F50" s="746"/>
      <c r="G50" s="746" t="s">
        <v>536</v>
      </c>
      <c r="H50" s="748"/>
      <c r="I50" s="746"/>
      <c r="J50" s="747"/>
    </row>
    <row r="51" spans="1:11" ht="12.75" customHeight="1">
      <c r="A51" s="763" t="s">
        <v>1284</v>
      </c>
      <c r="B51" s="764" t="s">
        <v>1285</v>
      </c>
      <c r="C51" s="764"/>
      <c r="D51" s="765"/>
      <c r="E51" s="764"/>
      <c r="F51" s="764"/>
      <c r="G51" s="764"/>
      <c r="H51" s="764"/>
      <c r="I51" s="764"/>
      <c r="J51" s="766"/>
    </row>
    <row r="52" spans="1:11" ht="12.75" customHeight="1">
      <c r="A52" s="767"/>
      <c r="B52" s="757" t="s">
        <v>1286</v>
      </c>
      <c r="C52" s="757"/>
      <c r="D52" s="768"/>
      <c r="E52" s="757"/>
      <c r="F52" s="757"/>
      <c r="G52" s="757"/>
      <c r="H52" s="757"/>
      <c r="I52" s="757"/>
      <c r="J52" s="769"/>
    </row>
    <row r="53" spans="1:11" ht="12.75" customHeight="1">
      <c r="A53" s="767"/>
      <c r="B53" s="757"/>
      <c r="C53" s="757"/>
      <c r="D53" s="768"/>
      <c r="E53" s="757"/>
      <c r="F53" s="757"/>
      <c r="G53" s="757"/>
      <c r="H53" s="757"/>
      <c r="I53" s="757"/>
      <c r="J53" s="769"/>
    </row>
    <row r="54" spans="1:11" ht="12.75" customHeight="1">
      <c r="A54" s="767"/>
      <c r="B54" s="757"/>
      <c r="C54" s="757"/>
      <c r="D54" s="768"/>
      <c r="E54" s="757"/>
      <c r="F54" s="757"/>
      <c r="G54" s="757"/>
      <c r="H54" s="757"/>
      <c r="I54" s="757"/>
      <c r="J54" s="769"/>
    </row>
    <row r="55" spans="1:11" ht="12.75" customHeight="1">
      <c r="A55" s="770" t="s">
        <v>590</v>
      </c>
      <c r="B55" s="721" t="s">
        <v>981</v>
      </c>
      <c r="C55" s="771"/>
      <c r="D55" s="771"/>
      <c r="E55" s="771"/>
      <c r="F55" s="772" t="s">
        <v>592</v>
      </c>
      <c r="G55" s="771" t="s">
        <v>593</v>
      </c>
      <c r="H55" s="771"/>
      <c r="I55" s="771"/>
      <c r="J55" s="773"/>
    </row>
    <row r="56" spans="1:11" ht="12.75" customHeight="1">
      <c r="A56" s="774" t="s">
        <v>594</v>
      </c>
      <c r="B56" s="775" t="s">
        <v>595</v>
      </c>
      <c r="C56" s="776"/>
      <c r="D56" s="776"/>
      <c r="E56" s="776"/>
      <c r="F56" s="777" t="s">
        <v>596</v>
      </c>
      <c r="G56" s="776" t="s">
        <v>597</v>
      </c>
      <c r="H56" s="776"/>
      <c r="I56" s="776"/>
      <c r="J56" s="778"/>
    </row>
    <row r="57" spans="1:11" ht="12.75" customHeight="1">
      <c r="A57" s="774" t="s">
        <v>598</v>
      </c>
      <c r="B57" s="775" t="s">
        <v>599</v>
      </c>
      <c r="C57" s="776"/>
      <c r="D57" s="776"/>
      <c r="E57" s="776"/>
      <c r="F57" s="777" t="s">
        <v>600</v>
      </c>
      <c r="G57" s="776" t="s">
        <v>601</v>
      </c>
      <c r="H57" s="776"/>
      <c r="I57" s="776"/>
      <c r="J57" s="778"/>
    </row>
    <row r="58" spans="1:11" ht="12.75" customHeight="1">
      <c r="A58" s="779" t="s">
        <v>982</v>
      </c>
      <c r="B58" s="780" t="s">
        <v>983</v>
      </c>
      <c r="C58" s="781"/>
      <c r="D58" s="781"/>
      <c r="E58" s="781"/>
      <c r="F58" s="782" t="s">
        <v>604</v>
      </c>
      <c r="G58" s="781" t="s">
        <v>984</v>
      </c>
      <c r="H58" s="858">
        <v>41589</v>
      </c>
      <c r="I58" s="781"/>
      <c r="J58" s="783"/>
    </row>
    <row r="59" spans="1:11" ht="12.75" customHeight="1">
      <c r="A59" s="784" t="s">
        <v>605</v>
      </c>
      <c r="B59" s="785">
        <f ca="1">NOW()</f>
        <v>42277.628329629631</v>
      </c>
      <c r="C59" s="786"/>
      <c r="D59" s="787" t="s">
        <v>606</v>
      </c>
      <c r="E59" s="788"/>
      <c r="F59" s="789" t="s">
        <v>985</v>
      </c>
      <c r="G59" s="790" t="s">
        <v>1287</v>
      </c>
      <c r="H59" s="787" t="s">
        <v>609</v>
      </c>
      <c r="I59" s="788" t="s">
        <v>1288</v>
      </c>
      <c r="J59" s="791"/>
    </row>
    <row r="60" spans="1:11" ht="12.75" customHeight="1">
      <c r="A60" s="714" t="str">
        <f>A1</f>
        <v>Calculation of</v>
      </c>
      <c r="B60" s="715"/>
      <c r="C60" s="714" t="str">
        <f>C1</f>
        <v>Bolted flange connections</v>
      </c>
      <c r="D60" s="716"/>
      <c r="E60" s="716"/>
      <c r="F60" s="716"/>
      <c r="G60" s="715"/>
      <c r="H60" s="714" t="str">
        <f>H1</f>
        <v>AD-Merkblatt</v>
      </c>
      <c r="I60" s="716"/>
      <c r="J60" s="715"/>
    </row>
    <row r="61" spans="1:11" ht="12.75" customHeight="1">
      <c r="A61" s="718" t="str">
        <f>A2</f>
        <v>pressure vessels</v>
      </c>
      <c r="B61" s="719"/>
      <c r="C61" s="718" t="str">
        <f>C2</f>
        <v>Integral flange with conical hub</v>
      </c>
      <c r="D61" s="720"/>
      <c r="E61" s="720"/>
      <c r="F61" s="720"/>
      <c r="G61" s="719"/>
      <c r="H61" s="718" t="str">
        <f>H2</f>
        <v>B7/B8</v>
      </c>
      <c r="I61" s="720"/>
      <c r="J61" s="719"/>
    </row>
    <row r="62" spans="1:11" ht="12.75" customHeight="1">
      <c r="A62" s="792" t="s">
        <v>1289</v>
      </c>
      <c r="B62" s="793"/>
      <c r="C62" s="793"/>
      <c r="D62" s="793"/>
      <c r="E62" s="794"/>
      <c r="F62" s="795"/>
      <c r="G62" s="795"/>
      <c r="H62" s="795"/>
      <c r="I62" s="795"/>
      <c r="J62" s="796"/>
    </row>
    <row r="63" spans="1:11" ht="12.75" customHeight="1">
      <c r="A63" s="797" t="s">
        <v>1290</v>
      </c>
      <c r="B63" s="798"/>
      <c r="C63" s="798"/>
      <c r="D63" s="742" t="s">
        <v>500</v>
      </c>
      <c r="E63" s="859">
        <f>$E$13*PI()/$E$28</f>
        <v>130.37609512397643</v>
      </c>
      <c r="F63" s="799"/>
      <c r="G63" s="800" t="s">
        <v>104</v>
      </c>
      <c r="H63" s="801" t="s">
        <v>1291</v>
      </c>
      <c r="I63" s="799"/>
      <c r="J63" s="802"/>
    </row>
    <row r="64" spans="1:11" ht="12.75" customHeight="1">
      <c r="A64" s="803" t="s">
        <v>1292</v>
      </c>
      <c r="B64" s="804"/>
      <c r="C64" s="804"/>
      <c r="D64" s="744" t="s">
        <v>1293</v>
      </c>
      <c r="E64" s="862">
        <f>5*$E$31</f>
        <v>115</v>
      </c>
      <c r="F64" s="805"/>
      <c r="G64" s="806" t="s">
        <v>104</v>
      </c>
      <c r="H64" s="805"/>
      <c r="I64" s="805"/>
      <c r="J64" s="807"/>
      <c r="K64" s="907" t="s">
        <v>1359</v>
      </c>
    </row>
    <row r="65" spans="1:20" ht="12.75" customHeight="1">
      <c r="A65" s="730" t="s">
        <v>1356</v>
      </c>
      <c r="B65" s="722"/>
      <c r="C65" s="722"/>
      <c r="D65" s="723" t="s">
        <v>66</v>
      </c>
      <c r="E65" s="863">
        <f>$E$15+2*$E$21</f>
        <v>1562</v>
      </c>
      <c r="F65" s="808"/>
      <c r="G65" s="809" t="s">
        <v>104</v>
      </c>
      <c r="H65" s="810"/>
      <c r="I65" s="810"/>
      <c r="J65" s="724"/>
      <c r="K65" s="907"/>
    </row>
    <row r="66" spans="1:20" ht="12.75" customHeight="1">
      <c r="A66" s="730" t="s">
        <v>1357</v>
      </c>
      <c r="B66" s="722"/>
      <c r="C66" s="722"/>
      <c r="D66" s="723" t="s">
        <v>64</v>
      </c>
      <c r="E66" s="863">
        <f>$E$17-$E$21</f>
        <v>88</v>
      </c>
      <c r="F66" s="808"/>
      <c r="G66" s="809" t="s">
        <v>104</v>
      </c>
      <c r="H66" s="810"/>
      <c r="I66" s="810"/>
      <c r="J66" s="724"/>
      <c r="K66" s="907"/>
    </row>
    <row r="67" spans="1:20" ht="12.75" customHeight="1">
      <c r="A67" s="730" t="s">
        <v>1358</v>
      </c>
      <c r="B67" s="722"/>
      <c r="C67" s="722"/>
      <c r="D67" s="723" t="s">
        <v>69</v>
      </c>
      <c r="E67" s="863">
        <f>$E$18-$E$21-$E$20</f>
        <v>10</v>
      </c>
      <c r="F67" s="808"/>
      <c r="G67" s="809" t="s">
        <v>104</v>
      </c>
      <c r="H67" s="810"/>
      <c r="I67" s="810"/>
      <c r="J67" s="724"/>
      <c r="K67" s="907"/>
    </row>
    <row r="68" spans="1:20" ht="12.75" customHeight="1">
      <c r="A68" s="730" t="s">
        <v>1253</v>
      </c>
      <c r="B68" s="722"/>
      <c r="C68" s="722"/>
      <c r="D68" s="723" t="s">
        <v>70</v>
      </c>
      <c r="E68" s="863">
        <f>$E$19-$E$21-$E$20</f>
        <v>19</v>
      </c>
      <c r="F68" s="808"/>
      <c r="G68" s="809" t="s">
        <v>104</v>
      </c>
      <c r="H68" s="810"/>
      <c r="I68" s="810"/>
      <c r="J68" s="724"/>
      <c r="K68" s="907"/>
    </row>
    <row r="69" spans="1:20" ht="12.75" customHeight="1">
      <c r="A69" s="792" t="s">
        <v>1294</v>
      </c>
      <c r="B69" s="793"/>
      <c r="C69" s="793"/>
      <c r="D69" s="793"/>
      <c r="E69" s="811" t="s">
        <v>1196</v>
      </c>
      <c r="F69" s="812" t="s">
        <v>1197</v>
      </c>
      <c r="G69" s="812"/>
      <c r="H69" s="812" t="s">
        <v>1198</v>
      </c>
      <c r="I69" s="812"/>
      <c r="J69" s="796"/>
      <c r="K69" s="907" t="s">
        <v>1370</v>
      </c>
    </row>
    <row r="70" spans="1:20" ht="12.75" customHeight="1">
      <c r="A70" s="730" t="s">
        <v>1295</v>
      </c>
      <c r="B70" s="722"/>
      <c r="C70" s="722"/>
      <c r="D70" s="723" t="s">
        <v>1296</v>
      </c>
      <c r="E70" s="877">
        <f>E71+E72+E73</f>
        <v>750162.06019478512</v>
      </c>
      <c r="F70" s="813" t="s">
        <v>989</v>
      </c>
      <c r="G70" s="814" t="s">
        <v>116</v>
      </c>
      <c r="H70" s="891" t="s">
        <v>989</v>
      </c>
      <c r="I70" s="892">
        <f>I71+I72+I73</f>
        <v>1371724.9100704645</v>
      </c>
      <c r="J70" s="807" t="s">
        <v>1297</v>
      </c>
      <c r="K70" s="907" t="s">
        <v>1390</v>
      </c>
      <c r="P70" s="921"/>
    </row>
    <row r="71" spans="1:20" ht="12.75" customHeight="1">
      <c r="A71" s="749" t="s">
        <v>1298</v>
      </c>
      <c r="B71" s="746"/>
      <c r="C71" s="746"/>
      <c r="D71" s="723" t="s">
        <v>1299</v>
      </c>
      <c r="E71" s="876">
        <f>$E$3*PI()*$E$65^2/4</f>
        <v>670687.14880169928</v>
      </c>
      <c r="F71" s="816" t="s">
        <v>989</v>
      </c>
      <c r="G71" s="817" t="s">
        <v>116</v>
      </c>
      <c r="H71" s="816" t="s">
        <v>989</v>
      </c>
      <c r="I71" s="875">
        <f>$E$4*PI()*$E$65^2/4</f>
        <v>1226399.3578088218</v>
      </c>
      <c r="J71" s="807" t="s">
        <v>1297</v>
      </c>
      <c r="K71" s="907" t="s">
        <v>1398</v>
      </c>
    </row>
    <row r="72" spans="1:20" ht="12.75" customHeight="1">
      <c r="A72" s="749" t="s">
        <v>1300</v>
      </c>
      <c r="B72" s="746"/>
      <c r="C72" s="746"/>
      <c r="D72" s="818" t="s">
        <v>1301</v>
      </c>
      <c r="E72" s="876">
        <f>$E$3*PI()*($E$14^2-$E$65^2)/4</f>
        <v>33029.605602414325</v>
      </c>
      <c r="F72" s="816" t="s">
        <v>989</v>
      </c>
      <c r="G72" s="817" t="s">
        <v>116</v>
      </c>
      <c r="H72" s="816" t="s">
        <v>989</v>
      </c>
      <c r="I72" s="875">
        <f>$E$4*PI()*($E$14^2-$E$65^2)/4</f>
        <v>60396.993101557637</v>
      </c>
      <c r="J72" s="807" t="s">
        <v>1297</v>
      </c>
      <c r="K72" s="907"/>
    </row>
    <row r="73" spans="1:20" ht="12.75" customHeight="1">
      <c r="A73" s="749" t="s">
        <v>1302</v>
      </c>
      <c r="B73" s="746"/>
      <c r="C73" s="746"/>
      <c r="D73" s="818" t="s">
        <v>1303</v>
      </c>
      <c r="E73" s="876">
        <f>$E$3*PI()*$E$14*1.2*$E$43</f>
        <v>46445.305790671497</v>
      </c>
      <c r="F73" s="816" t="s">
        <v>989</v>
      </c>
      <c r="G73" s="817" t="s">
        <v>116</v>
      </c>
      <c r="H73" s="816" t="s">
        <v>989</v>
      </c>
      <c r="I73" s="875">
        <f>$E$4*PI()*$E$14*1.2*$E$43</f>
        <v>84928.559160085046</v>
      </c>
      <c r="J73" s="807" t="s">
        <v>1297</v>
      </c>
      <c r="K73" s="907"/>
    </row>
    <row r="74" spans="1:20" ht="12.75" customHeight="1">
      <c r="A74" s="749" t="s">
        <v>1304</v>
      </c>
      <c r="B74" s="746"/>
      <c r="C74" s="746"/>
      <c r="D74" s="818" t="s">
        <v>1305</v>
      </c>
      <c r="E74" s="815" t="s">
        <v>116</v>
      </c>
      <c r="F74" s="816" t="s">
        <v>989</v>
      </c>
      <c r="G74" s="875">
        <f>PI()*E14*E45</f>
        <v>1507964.4737231007</v>
      </c>
      <c r="H74" s="816" t="s">
        <v>989</v>
      </c>
      <c r="I74" s="817" t="s">
        <v>116</v>
      </c>
      <c r="J74" s="807" t="s">
        <v>1297</v>
      </c>
      <c r="K74" s="907" t="s">
        <v>1399</v>
      </c>
    </row>
    <row r="75" spans="1:20" ht="12.75" customHeight="1">
      <c r="A75" s="749" t="s">
        <v>1306</v>
      </c>
      <c r="B75" s="746"/>
      <c r="C75" s="746"/>
      <c r="D75" s="733" t="s">
        <v>1307</v>
      </c>
      <c r="E75" s="815" t="s">
        <v>116</v>
      </c>
      <c r="F75" s="816" t="s">
        <v>989</v>
      </c>
      <c r="G75" s="875">
        <f>0.2*$G$74+0.8*SQRT($E$70*$G$74)</f>
        <v>1152462.6563636041</v>
      </c>
      <c r="H75" s="816" t="s">
        <v>989</v>
      </c>
      <c r="I75" s="817" t="s">
        <v>116</v>
      </c>
      <c r="J75" s="807" t="s">
        <v>1297</v>
      </c>
      <c r="K75" s="907" t="s">
        <v>1435</v>
      </c>
      <c r="M75" s="935" t="s">
        <v>1436</v>
      </c>
    </row>
    <row r="76" spans="1:20" ht="12.75" customHeight="1">
      <c r="A76" s="749" t="s">
        <v>1308</v>
      </c>
      <c r="B76" s="746"/>
      <c r="C76" s="746"/>
      <c r="D76" s="818" t="s">
        <v>1309</v>
      </c>
      <c r="E76" s="815" t="s">
        <v>116</v>
      </c>
      <c r="F76" s="816" t="s">
        <v>989</v>
      </c>
      <c r="G76" s="875">
        <f>PI()*$E$14*$E$48*$E$50</f>
        <v>0</v>
      </c>
      <c r="H76" s="816" t="s">
        <v>989</v>
      </c>
      <c r="I76" s="817" t="s">
        <v>116</v>
      </c>
      <c r="J76" s="807" t="s">
        <v>1297</v>
      </c>
      <c r="K76" s="907" t="s">
        <v>1360</v>
      </c>
    </row>
    <row r="77" spans="1:20" ht="12.75" customHeight="1">
      <c r="A77" s="726" t="s">
        <v>1310</v>
      </c>
      <c r="B77" s="727"/>
      <c r="C77" s="727"/>
      <c r="D77" s="728" t="s">
        <v>1311</v>
      </c>
      <c r="E77" s="819" t="s">
        <v>116</v>
      </c>
      <c r="F77" s="820" t="s">
        <v>989</v>
      </c>
      <c r="G77" s="878">
        <f>$G$74*SQRT($E$39)</f>
        <v>1507964.4737231007</v>
      </c>
      <c r="H77" s="820" t="s">
        <v>989</v>
      </c>
      <c r="I77" s="821" t="s">
        <v>116</v>
      </c>
      <c r="J77" s="807" t="s">
        <v>1297</v>
      </c>
      <c r="K77" s="907"/>
    </row>
    <row r="78" spans="1:20" ht="12.75" customHeight="1">
      <c r="A78" s="792" t="s">
        <v>1312</v>
      </c>
      <c r="B78" s="793"/>
      <c r="C78" s="793"/>
      <c r="D78" s="793"/>
      <c r="E78" s="812" t="s">
        <v>1196</v>
      </c>
      <c r="F78" s="812" t="s">
        <v>1197</v>
      </c>
      <c r="G78" s="812"/>
      <c r="H78" s="812" t="s">
        <v>1198</v>
      </c>
      <c r="I78" s="812"/>
      <c r="J78" s="796"/>
      <c r="K78" s="907"/>
      <c r="Q78" s="717" t="s">
        <v>1373</v>
      </c>
    </row>
    <row r="79" spans="1:20" ht="12.75" customHeight="1">
      <c r="A79" s="797" t="s">
        <v>1313</v>
      </c>
      <c r="B79" s="798"/>
      <c r="C79" s="798"/>
      <c r="D79" s="742" t="s">
        <v>1314</v>
      </c>
      <c r="E79" s="893">
        <f>SQRT($E$32*4/PI())</f>
        <v>15.750423926160334</v>
      </c>
      <c r="F79" s="894" t="s">
        <v>989</v>
      </c>
      <c r="G79" s="895">
        <f>SQRT($E$32*4/PI())</f>
        <v>15.750423926160334</v>
      </c>
      <c r="H79" s="896" t="s">
        <v>989</v>
      </c>
      <c r="I79" s="895">
        <f>SQRT($E$32*4/PI())</f>
        <v>15.750423926160334</v>
      </c>
      <c r="J79" s="802" t="s">
        <v>104</v>
      </c>
      <c r="K79" s="907" t="s">
        <v>1374</v>
      </c>
      <c r="Q79" s="880"/>
      <c r="R79" s="880" t="s">
        <v>316</v>
      </c>
      <c r="S79" s="880" t="s">
        <v>444</v>
      </c>
      <c r="T79" s="880" t="s">
        <v>335</v>
      </c>
    </row>
    <row r="80" spans="1:20" ht="12.75" customHeight="1">
      <c r="A80" s="730" t="s">
        <v>1315</v>
      </c>
      <c r="B80" s="722"/>
      <c r="C80" s="722"/>
      <c r="D80" s="723" t="s">
        <v>430</v>
      </c>
      <c r="E80" s="882">
        <f>SQRT(4*$E$26/(PI()*$E$33))</f>
        <v>1.5138795132120961</v>
      </c>
      <c r="F80" s="824" t="s">
        <v>989</v>
      </c>
      <c r="G80" s="885">
        <f>SQRT(4*$E$27/(PI()*$E$33))</f>
        <v>1.2865501965161374</v>
      </c>
      <c r="H80" s="824" t="s">
        <v>989</v>
      </c>
      <c r="I80" s="885">
        <f>SQRT(4*$E$27/(PI()*$E$33))</f>
        <v>1.2865501965161374</v>
      </c>
      <c r="J80" s="807" t="s">
        <v>104</v>
      </c>
      <c r="K80" s="907"/>
      <c r="L80" s="717" t="s">
        <v>1365</v>
      </c>
      <c r="Q80" s="880"/>
      <c r="R80" s="880"/>
      <c r="S80" s="880"/>
      <c r="T80" s="880"/>
    </row>
    <row r="81" spans="1:21" ht="12.75" customHeight="1">
      <c r="A81" s="730" t="s">
        <v>1316</v>
      </c>
      <c r="B81" s="722"/>
      <c r="C81" s="722"/>
      <c r="D81" s="818" t="s">
        <v>1317</v>
      </c>
      <c r="E81" s="887">
        <f>IF($N$82&lt;=20,3,IF($N$82&lt;50,(65-$N$82)/15,1))</f>
        <v>3</v>
      </c>
      <c r="F81" s="822" t="s">
        <v>989</v>
      </c>
      <c r="G81" s="823" t="s">
        <v>116</v>
      </c>
      <c r="H81" s="822" t="s">
        <v>989</v>
      </c>
      <c r="I81" s="823" t="s">
        <v>116</v>
      </c>
      <c r="J81" s="807" t="s">
        <v>104</v>
      </c>
      <c r="K81" s="907"/>
      <c r="Q81" s="880" t="s">
        <v>1366</v>
      </c>
      <c r="R81" s="881">
        <v>1.8</v>
      </c>
      <c r="S81" s="881">
        <v>1.3</v>
      </c>
      <c r="T81" s="881">
        <v>1.3</v>
      </c>
      <c r="U81" s="717" t="s">
        <v>1371</v>
      </c>
    </row>
    <row r="82" spans="1:21" ht="12.75" customHeight="1">
      <c r="A82" s="749" t="s">
        <v>1318</v>
      </c>
      <c r="B82" s="746"/>
      <c r="C82" s="746"/>
      <c r="D82" s="745"/>
      <c r="E82" s="888">
        <f>$E$80*SQRT($E$70/($E$24*$E$28))+E81</f>
        <v>13.538611178964491</v>
      </c>
      <c r="F82" s="824" t="s">
        <v>989</v>
      </c>
      <c r="G82" s="889">
        <f>$G$80*SQRT($G$74/($E$25*$E$28))</f>
        <v>9.2773361218208201</v>
      </c>
      <c r="H82" s="824" t="s">
        <v>989</v>
      </c>
      <c r="I82" s="889">
        <f>$I$80*SQRT($I$70/($E$25*$E$28))</f>
        <v>8.848328733682445</v>
      </c>
      <c r="J82" s="825" t="s">
        <v>104</v>
      </c>
      <c r="K82" s="907" t="s">
        <v>1395</v>
      </c>
      <c r="M82" s="732" t="s">
        <v>1369</v>
      </c>
      <c r="N82" s="886">
        <f>$E$80*SQRT($E$70/($E$24*$E$28))</f>
        <v>10.538611178964491</v>
      </c>
      <c r="Q82" s="880"/>
      <c r="R82" s="881"/>
      <c r="S82" s="881"/>
      <c r="T82" s="881"/>
    </row>
    <row r="83" spans="1:21" ht="12.75" customHeight="1">
      <c r="A83" s="826" t="s">
        <v>1319</v>
      </c>
      <c r="B83" s="827"/>
      <c r="C83" s="827"/>
      <c r="D83" s="828" t="s">
        <v>1320</v>
      </c>
      <c r="E83" s="890">
        <f>MAX($E$82,$G$82,$I$82)</f>
        <v>13.538611178964491</v>
      </c>
      <c r="F83" s="829" t="s">
        <v>104</v>
      </c>
      <c r="G83" s="830"/>
      <c r="H83" s="827"/>
      <c r="I83" s="827"/>
      <c r="J83" s="831"/>
      <c r="K83" s="907"/>
      <c r="N83" s="717">
        <f>IF($N$82&lt;=20,3,IF($N$82&lt;50,(65-$N$82)/15,1))</f>
        <v>3</v>
      </c>
      <c r="Q83" s="883" t="s">
        <v>1367</v>
      </c>
      <c r="R83" s="884">
        <v>1.5</v>
      </c>
      <c r="S83" s="884">
        <v>1.1000000000000001</v>
      </c>
      <c r="T83" s="884">
        <v>1.1000000000000001</v>
      </c>
      <c r="U83" s="717" t="s">
        <v>1375</v>
      </c>
    </row>
    <row r="84" spans="1:21" ht="12.75" customHeight="1">
      <c r="A84" s="792" t="s">
        <v>1321</v>
      </c>
      <c r="B84" s="793"/>
      <c r="C84" s="793"/>
      <c r="D84" s="793"/>
      <c r="E84" s="812" t="s">
        <v>1196</v>
      </c>
      <c r="F84" s="812" t="s">
        <v>1197</v>
      </c>
      <c r="G84" s="812"/>
      <c r="H84" s="812" t="s">
        <v>1198</v>
      </c>
      <c r="I84" s="812"/>
      <c r="J84" s="796"/>
      <c r="K84" s="907"/>
      <c r="Q84" s="883"/>
      <c r="R84" s="884"/>
      <c r="S84" s="884"/>
      <c r="T84" s="884"/>
    </row>
    <row r="85" spans="1:21" ht="12.75" customHeight="1">
      <c r="A85" s="740" t="s">
        <v>1322</v>
      </c>
      <c r="B85" s="741"/>
      <c r="C85" s="741"/>
      <c r="D85" s="742" t="s">
        <v>1323</v>
      </c>
      <c r="E85" s="897">
        <f>IF($E$65&lt;500,1-0.001*$E$65,0.5)*$E$31</f>
        <v>11.5</v>
      </c>
      <c r="F85" s="832" t="s">
        <v>989</v>
      </c>
      <c r="G85" s="898">
        <f>IF($E$65&lt;500,1-0.001*$E$65,0.5)*$E$31</f>
        <v>11.5</v>
      </c>
      <c r="H85" s="832" t="s">
        <v>989</v>
      </c>
      <c r="I85" s="898">
        <f>IF($E$65&lt;500,1-0.001*$E$65,0.5)*$E$31</f>
        <v>11.5</v>
      </c>
      <c r="J85" s="802" t="s">
        <v>1324</v>
      </c>
      <c r="K85" s="907" t="s">
        <v>1381</v>
      </c>
      <c r="Q85" s="883" t="s">
        <v>1368</v>
      </c>
      <c r="R85" s="884">
        <v>5</v>
      </c>
      <c r="S85" s="884">
        <v>3</v>
      </c>
      <c r="T85" s="884">
        <v>3</v>
      </c>
      <c r="U85" s="717" t="s">
        <v>1372</v>
      </c>
    </row>
    <row r="86" spans="1:21" ht="12.75" customHeight="1">
      <c r="A86" s="749" t="s">
        <v>1325</v>
      </c>
      <c r="B86" s="746"/>
      <c r="C86" s="746"/>
      <c r="D86" s="745" t="s">
        <v>638</v>
      </c>
      <c r="E86" s="552">
        <f>$E$12-$E$65-2*$E$85</f>
        <v>125</v>
      </c>
      <c r="F86" s="834" t="s">
        <v>989</v>
      </c>
      <c r="G86" s="900">
        <f>$E$12-$E$65-2*$G$85</f>
        <v>125</v>
      </c>
      <c r="H86" s="901" t="s">
        <v>989</v>
      </c>
      <c r="I86" s="900">
        <f>$E$12-$E$65-2*$I$85</f>
        <v>125</v>
      </c>
      <c r="J86" s="825" t="s">
        <v>1324</v>
      </c>
      <c r="K86" s="907" t="s">
        <v>1380</v>
      </c>
      <c r="Q86" s="880"/>
      <c r="R86" s="880"/>
      <c r="S86" s="880"/>
      <c r="T86" s="880"/>
    </row>
    <row r="87" spans="1:21" ht="12.75" customHeight="1">
      <c r="A87" s="750" t="s">
        <v>1326</v>
      </c>
      <c r="B87" s="751"/>
      <c r="C87" s="751"/>
      <c r="D87" s="752" t="s">
        <v>1327</v>
      </c>
      <c r="E87" s="552">
        <f>MIN($E$66/3,$E$68)</f>
        <v>19</v>
      </c>
      <c r="F87" s="834" t="s">
        <v>989</v>
      </c>
      <c r="G87" s="900">
        <f>MIN($E$66/3,$E$68)</f>
        <v>19</v>
      </c>
      <c r="H87" s="901" t="s">
        <v>989</v>
      </c>
      <c r="I87" s="900">
        <f>MIN($E$66/3,$E$68)</f>
        <v>19</v>
      </c>
      <c r="J87" s="825" t="s">
        <v>104</v>
      </c>
      <c r="K87" s="907" t="s">
        <v>1377</v>
      </c>
      <c r="Q87" s="880"/>
      <c r="R87" s="880"/>
      <c r="S87" s="880"/>
      <c r="T87" s="880"/>
    </row>
    <row r="88" spans="1:21" ht="12.75" customHeight="1">
      <c r="A88" s="749" t="s">
        <v>1328</v>
      </c>
      <c r="B88" s="746"/>
      <c r="C88" s="746"/>
      <c r="D88" s="745" t="s">
        <v>430</v>
      </c>
      <c r="E88" s="876">
        <f>($E$65+$E$87)*$E$87^2</f>
        <v>570741</v>
      </c>
      <c r="F88" s="902" t="s">
        <v>989</v>
      </c>
      <c r="G88" s="875">
        <f>($E$65+$G$87)*$G$87^2</f>
        <v>570741</v>
      </c>
      <c r="H88" s="902" t="s">
        <v>989</v>
      </c>
      <c r="I88" s="875">
        <f>($E$65+$I$87)*$I$87^2</f>
        <v>570741</v>
      </c>
      <c r="J88" s="825" t="s">
        <v>1329</v>
      </c>
      <c r="K88" s="907" t="s">
        <v>1389</v>
      </c>
    </row>
    <row r="89" spans="1:21" ht="12.75" customHeight="1">
      <c r="A89" s="750" t="s">
        <v>1330</v>
      </c>
      <c r="B89" s="751"/>
      <c r="C89" s="751"/>
      <c r="D89" s="752" t="s">
        <v>1331</v>
      </c>
      <c r="E89" s="903">
        <f>0.75*($E$65+$E$67)*$E$67^2</f>
        <v>117900</v>
      </c>
      <c r="F89" s="904" t="s">
        <v>989</v>
      </c>
      <c r="G89" s="905">
        <f>0.75*($E$65+$E$67)*$E$67^2</f>
        <v>117900</v>
      </c>
      <c r="H89" s="904" t="s">
        <v>989</v>
      </c>
      <c r="I89" s="905">
        <f>0.75*($E$65+$E$67)*$E$67^2</f>
        <v>117900</v>
      </c>
      <c r="J89" s="825" t="s">
        <v>1329</v>
      </c>
      <c r="K89" s="907" t="s">
        <v>1378</v>
      </c>
    </row>
    <row r="90" spans="1:21" ht="12.75" customHeight="1">
      <c r="A90" s="735" t="s">
        <v>1332</v>
      </c>
      <c r="B90" s="736"/>
      <c r="C90" s="736"/>
      <c r="D90" s="737"/>
      <c r="E90" s="811" t="s">
        <v>1196</v>
      </c>
      <c r="F90" s="812" t="s">
        <v>1197</v>
      </c>
      <c r="G90" s="812"/>
      <c r="H90" s="812" t="s">
        <v>1198</v>
      </c>
      <c r="I90" s="812"/>
      <c r="J90" s="796"/>
      <c r="K90" s="907" t="s">
        <v>1387</v>
      </c>
    </row>
    <row r="91" spans="1:21" ht="12.75" customHeight="1">
      <c r="A91" s="730" t="s">
        <v>1333</v>
      </c>
      <c r="B91" s="722"/>
      <c r="C91" s="722"/>
      <c r="D91" s="723" t="s">
        <v>815</v>
      </c>
      <c r="E91" s="862">
        <f>($E$13-$E$65-$E$87)/2</f>
        <v>39.5</v>
      </c>
      <c r="F91" s="836" t="s">
        <v>989</v>
      </c>
      <c r="G91" s="837" t="s">
        <v>116</v>
      </c>
      <c r="H91" s="838" t="s">
        <v>989</v>
      </c>
      <c r="I91" s="906">
        <f>($E$13-$E$65-$E$87)/2</f>
        <v>39.5</v>
      </c>
      <c r="J91" s="807" t="s">
        <v>104</v>
      </c>
      <c r="K91" s="907" t="s">
        <v>1379</v>
      </c>
    </row>
    <row r="92" spans="1:21" ht="12.75" customHeight="1">
      <c r="A92" s="730" t="s">
        <v>1334</v>
      </c>
      <c r="B92" s="722"/>
      <c r="C92" s="722"/>
      <c r="D92" s="744" t="s">
        <v>1212</v>
      </c>
      <c r="E92" s="833" t="s">
        <v>116</v>
      </c>
      <c r="F92" s="839" t="s">
        <v>989</v>
      </c>
      <c r="G92" s="900">
        <f>($E$13-$E$14)/2</f>
        <v>30</v>
      </c>
      <c r="H92" s="834" t="s">
        <v>989</v>
      </c>
      <c r="I92" s="835" t="s">
        <v>116</v>
      </c>
      <c r="J92" s="825" t="s">
        <v>104</v>
      </c>
      <c r="K92" s="907" t="s">
        <v>1382</v>
      </c>
    </row>
    <row r="93" spans="1:21" ht="12.75" customHeight="1">
      <c r="A93" s="730" t="s">
        <v>1385</v>
      </c>
      <c r="B93" s="722"/>
      <c r="C93" s="722"/>
      <c r="D93" s="744" t="s">
        <v>199</v>
      </c>
      <c r="E93" s="876">
        <f>$E$70*$E$9*$E$91/$E$7</f>
        <v>250830.14710237595</v>
      </c>
      <c r="F93" s="840" t="s">
        <v>989</v>
      </c>
      <c r="G93" s="817" t="s">
        <v>116</v>
      </c>
      <c r="H93" s="816" t="s">
        <v>989</v>
      </c>
      <c r="I93" s="875">
        <f>$I$70*$E$10*$I$91/$E$8</f>
        <v>238405.78937024673</v>
      </c>
      <c r="J93" s="825" t="s">
        <v>1329</v>
      </c>
      <c r="K93" s="907" t="s">
        <v>1384</v>
      </c>
      <c r="P93" s="919"/>
    </row>
    <row r="94" spans="1:21" ht="12.75" customHeight="1">
      <c r="A94" s="749" t="s">
        <v>1386</v>
      </c>
      <c r="B94" s="746"/>
      <c r="C94" s="746"/>
      <c r="D94" s="745" t="s">
        <v>1337</v>
      </c>
      <c r="E94" s="815" t="s">
        <v>116</v>
      </c>
      <c r="F94" s="840" t="s">
        <v>989</v>
      </c>
      <c r="G94" s="875">
        <f>($G$74*$E$10*$G$92)/$E$8</f>
        <v>199051.3105314493</v>
      </c>
      <c r="H94" s="816" t="s">
        <v>989</v>
      </c>
      <c r="I94" s="817" t="s">
        <v>116</v>
      </c>
      <c r="J94" s="825" t="s">
        <v>1329</v>
      </c>
      <c r="K94" s="907" t="s">
        <v>1383</v>
      </c>
    </row>
    <row r="95" spans="1:21" ht="12.75" customHeight="1">
      <c r="A95" s="731" t="s">
        <v>1338</v>
      </c>
      <c r="B95" s="732"/>
      <c r="C95" s="732"/>
      <c r="D95" s="841"/>
      <c r="E95" s="908">
        <f>SQRT(ABS(1.27*$E$93-$E$88)/$E$86)</f>
        <v>44.916519293461072</v>
      </c>
      <c r="F95" s="909" t="s">
        <v>989</v>
      </c>
      <c r="G95" s="910">
        <f>SQRT(ABS(1.27*$G$94-$G$88)/$G$86)</f>
        <v>50.433785154402948</v>
      </c>
      <c r="H95" s="911" t="s">
        <v>989</v>
      </c>
      <c r="I95" s="910">
        <f>SQRT(ABS(1.27*$I$93-$I$88)/$I$86)</f>
        <v>46.300379912029804</v>
      </c>
      <c r="J95" s="842" t="s">
        <v>104</v>
      </c>
      <c r="K95" s="907" t="s">
        <v>1391</v>
      </c>
    </row>
    <row r="96" spans="1:21" ht="12.75" customHeight="1">
      <c r="A96" s="735" t="s">
        <v>1339</v>
      </c>
      <c r="B96" s="736"/>
      <c r="C96" s="736"/>
      <c r="D96" s="737"/>
      <c r="E96" s="811" t="s">
        <v>1196</v>
      </c>
      <c r="F96" s="812" t="s">
        <v>1197</v>
      </c>
      <c r="G96" s="812"/>
      <c r="H96" s="812" t="s">
        <v>1198</v>
      </c>
      <c r="I96" s="812"/>
      <c r="J96" s="796"/>
      <c r="K96" s="907" t="s">
        <v>1388</v>
      </c>
    </row>
    <row r="97" spans="1:11" ht="12.75" customHeight="1">
      <c r="A97" s="730" t="s">
        <v>1340</v>
      </c>
      <c r="B97" s="722"/>
      <c r="C97" s="843"/>
      <c r="D97" s="723" t="s">
        <v>815</v>
      </c>
      <c r="E97" s="862">
        <f>($E$13-$E$65-$E$67)/2</f>
        <v>44</v>
      </c>
      <c r="F97" s="838" t="s">
        <v>989</v>
      </c>
      <c r="G97" s="837" t="s">
        <v>116</v>
      </c>
      <c r="H97" s="838" t="s">
        <v>989</v>
      </c>
      <c r="I97" s="906">
        <f>($E$13-$E$65-$E$67)/2</f>
        <v>44</v>
      </c>
      <c r="J97" s="807" t="s">
        <v>1324</v>
      </c>
      <c r="K97" s="907"/>
    </row>
    <row r="98" spans="1:11" ht="12.75" customHeight="1">
      <c r="A98" s="749" t="s">
        <v>1334</v>
      </c>
      <c r="B98" s="746"/>
      <c r="C98" s="722"/>
      <c r="D98" s="744" t="s">
        <v>1212</v>
      </c>
      <c r="E98" s="833" t="s">
        <v>116</v>
      </c>
      <c r="F98" s="834" t="s">
        <v>989</v>
      </c>
      <c r="G98" s="900">
        <f>($E$13-$E$14)/2</f>
        <v>30</v>
      </c>
      <c r="H98" s="834" t="s">
        <v>989</v>
      </c>
      <c r="I98" s="835" t="s">
        <v>116</v>
      </c>
      <c r="J98" s="825" t="s">
        <v>1324</v>
      </c>
      <c r="K98" s="907"/>
    </row>
    <row r="99" spans="1:11" ht="12.75" customHeight="1">
      <c r="A99" s="749" t="s">
        <v>1341</v>
      </c>
      <c r="B99" s="746"/>
      <c r="C99" s="746"/>
      <c r="D99" s="745" t="s">
        <v>1342</v>
      </c>
      <c r="E99" s="552">
        <f>($E$68+$E$67)/2</f>
        <v>14.5</v>
      </c>
      <c r="F99" s="834" t="s">
        <v>989</v>
      </c>
      <c r="G99" s="900">
        <f>($E$68+$E$67)/2</f>
        <v>14.5</v>
      </c>
      <c r="H99" s="901" t="s">
        <v>989</v>
      </c>
      <c r="I99" s="900">
        <f>($E$68+$E$67)/2</f>
        <v>14.5</v>
      </c>
      <c r="J99" s="825" t="s">
        <v>1324</v>
      </c>
      <c r="K99" s="907" t="s">
        <v>1396</v>
      </c>
    </row>
    <row r="100" spans="1:11" ht="12.75" customHeight="1">
      <c r="A100" s="749" t="s">
        <v>1343</v>
      </c>
      <c r="B100" s="746"/>
      <c r="C100" s="746"/>
      <c r="D100" s="745" t="s">
        <v>68</v>
      </c>
      <c r="E100" s="552">
        <f>$E$16+$E$66</f>
        <v>128</v>
      </c>
      <c r="F100" s="901" t="s">
        <v>989</v>
      </c>
      <c r="G100" s="900">
        <f>$E$16+$E$66</f>
        <v>128</v>
      </c>
      <c r="H100" s="901" t="s">
        <v>989</v>
      </c>
      <c r="I100" s="900">
        <f>$E$16+$E$66</f>
        <v>128</v>
      </c>
      <c r="J100" s="825" t="s">
        <v>1324</v>
      </c>
      <c r="K100" s="907" t="s">
        <v>1393</v>
      </c>
    </row>
    <row r="101" spans="1:11" ht="12.75" customHeight="1">
      <c r="A101" s="749" t="s">
        <v>1344</v>
      </c>
      <c r="B101" s="746"/>
      <c r="C101" s="746"/>
      <c r="D101" s="745" t="s">
        <v>1345</v>
      </c>
      <c r="E101" s="912">
        <f>($E$100-$E$66)/$E$66</f>
        <v>0.45454545454545453</v>
      </c>
      <c r="F101" s="824" t="s">
        <v>989</v>
      </c>
      <c r="G101" s="885">
        <f>($E$100-$E$66)/$E$66</f>
        <v>0.45454545454545453</v>
      </c>
      <c r="H101" s="913" t="s">
        <v>989</v>
      </c>
      <c r="I101" s="885">
        <f>($E$100-$E$66)/$E$66</f>
        <v>0.45454545454545453</v>
      </c>
      <c r="J101" s="825" t="s">
        <v>1146</v>
      </c>
      <c r="K101" s="907" t="s">
        <v>1394</v>
      </c>
    </row>
    <row r="102" spans="1:11" ht="12.75" customHeight="1">
      <c r="A102" s="749" t="s">
        <v>1346</v>
      </c>
      <c r="B102" s="746"/>
      <c r="C102" s="746"/>
      <c r="D102" s="745"/>
      <c r="E102" s="912">
        <f>(1+2*E99*E101/E86)/   (1+2*E99/E86*(E101^2+2*E101))</f>
        <v>0.87815126050420178</v>
      </c>
      <c r="F102" s="824" t="s">
        <v>989</v>
      </c>
      <c r="G102" s="885">
        <f>(1+2*G99*G101/G86)/   (1+2*G99/G86*(G101^2+2*G101))</f>
        <v>0.87815126050420178</v>
      </c>
      <c r="H102" s="913" t="s">
        <v>989</v>
      </c>
      <c r="I102" s="885">
        <f>(1+2*I99*I101/I86)/   (1+2*I99/I86*(I101^2+2*I101))</f>
        <v>0.87815126050420178</v>
      </c>
      <c r="J102" s="825" t="s">
        <v>1146</v>
      </c>
      <c r="K102" s="907" t="s">
        <v>1397</v>
      </c>
    </row>
    <row r="103" spans="1:11" ht="12.75" customHeight="1">
      <c r="A103" s="730" t="s">
        <v>1335</v>
      </c>
      <c r="B103" s="722"/>
      <c r="C103" s="722"/>
      <c r="D103" s="744" t="s">
        <v>199</v>
      </c>
      <c r="E103" s="876">
        <f>$E$70*$E$9*$E$97/$E$7</f>
        <v>279405.73348112765</v>
      </c>
      <c r="F103" s="816" t="s">
        <v>989</v>
      </c>
      <c r="G103" s="817" t="s">
        <v>116</v>
      </c>
      <c r="H103" s="816" t="s">
        <v>989</v>
      </c>
      <c r="I103" s="875">
        <f>$I$70*$E$10*$I$97/$E$8</f>
        <v>265565.94258964196</v>
      </c>
      <c r="J103" s="825" t="s">
        <v>1329</v>
      </c>
      <c r="K103" s="907" t="s">
        <v>1384</v>
      </c>
    </row>
    <row r="104" spans="1:11" ht="12.75" customHeight="1">
      <c r="A104" s="749" t="s">
        <v>1336</v>
      </c>
      <c r="B104" s="746"/>
      <c r="C104" s="746"/>
      <c r="D104" s="745" t="s">
        <v>1337</v>
      </c>
      <c r="E104" s="815" t="s">
        <v>116</v>
      </c>
      <c r="F104" s="816" t="s">
        <v>989</v>
      </c>
      <c r="G104" s="875">
        <f>($G$74*$E$10*$G$98)/$E$8</f>
        <v>199051.3105314493</v>
      </c>
      <c r="H104" s="816" t="s">
        <v>989</v>
      </c>
      <c r="I104" s="817" t="s">
        <v>116</v>
      </c>
      <c r="J104" s="825" t="s">
        <v>1329</v>
      </c>
      <c r="K104" s="907" t="s">
        <v>1383</v>
      </c>
    </row>
    <row r="105" spans="1:11" ht="12.75" customHeight="1">
      <c r="A105" s="726" t="s">
        <v>1347</v>
      </c>
      <c r="B105" s="727"/>
      <c r="C105" s="727"/>
      <c r="D105" s="754"/>
      <c r="E105" s="914">
        <f>$E$102*SQRT(ABS(1.27*$E$103-$E$89)/$E$86)</f>
        <v>38.232998069614858</v>
      </c>
      <c r="F105" s="844" t="s">
        <v>989</v>
      </c>
      <c r="G105" s="915">
        <f>$G$102*SQRT(ABS(1.27*$G$104-$G$89)/$G$86)</f>
        <v>28.847787707171243</v>
      </c>
      <c r="H105" s="916" t="s">
        <v>989</v>
      </c>
      <c r="I105" s="915">
        <f>$I$102*SQRT(ABS(1.27*$I$103-$I$89)/$I$86)</f>
        <v>36.787620693777946</v>
      </c>
      <c r="J105" s="845" t="s">
        <v>1348</v>
      </c>
      <c r="K105" s="907" t="s">
        <v>1392</v>
      </c>
    </row>
    <row r="106" spans="1:11" ht="12.75" customHeight="1">
      <c r="A106" s="730" t="s">
        <v>1349</v>
      </c>
      <c r="B106" s="722"/>
      <c r="C106" s="722"/>
      <c r="D106" s="744"/>
      <c r="E106" s="862">
        <f>($E$100-$E$66)/$E$66</f>
        <v>0.45454545454545453</v>
      </c>
      <c r="F106" s="838" t="s">
        <v>989</v>
      </c>
      <c r="G106" s="862">
        <f>($E$100-$E$66)/$E$66</f>
        <v>0.45454545454545453</v>
      </c>
      <c r="H106" s="838" t="s">
        <v>989</v>
      </c>
      <c r="I106" s="862">
        <f>($E$100-$E$66)/$E$66</f>
        <v>0.45454545454545453</v>
      </c>
      <c r="J106" s="807" t="s">
        <v>116</v>
      </c>
      <c r="K106" s="717" t="s">
        <v>1401</v>
      </c>
    </row>
    <row r="107" spans="1:11" ht="12.75" customHeight="1">
      <c r="A107" s="726" t="s">
        <v>1350</v>
      </c>
      <c r="B107" s="727"/>
      <c r="C107" s="727"/>
      <c r="D107" s="727"/>
      <c r="E107" s="917">
        <f>($E$67+$E$68)/$E$86</f>
        <v>0.23200000000000001</v>
      </c>
      <c r="F107" s="844" t="s">
        <v>989</v>
      </c>
      <c r="G107" s="917">
        <f>($E$67+$E$68)/$E$86</f>
        <v>0.23200000000000001</v>
      </c>
      <c r="H107" s="844" t="s">
        <v>989</v>
      </c>
      <c r="I107" s="917">
        <f>($E$67+$E$68)/$E$86</f>
        <v>0.23200000000000001</v>
      </c>
      <c r="J107" s="846" t="s">
        <v>116</v>
      </c>
      <c r="K107" s="717" t="s">
        <v>1401</v>
      </c>
    </row>
    <row r="108" spans="1:11" ht="12.75" customHeight="1">
      <c r="A108" s="826" t="s">
        <v>1351</v>
      </c>
      <c r="B108" s="827"/>
      <c r="C108" s="827"/>
      <c r="D108" s="827"/>
      <c r="E108" s="918">
        <f>MAX($E$95,$G$95,$I$95,$E$105,$G$105,$I$105)+$E$20+$E$21</f>
        <v>56.433785154402948</v>
      </c>
      <c r="F108" s="829" t="s">
        <v>104</v>
      </c>
      <c r="G108" s="830"/>
      <c r="H108" s="827"/>
      <c r="I108" s="827"/>
      <c r="J108" s="831"/>
    </row>
    <row r="109" spans="1:11" ht="12.75" customHeight="1">
      <c r="A109" s="731" t="s">
        <v>1352</v>
      </c>
      <c r="B109" s="732"/>
      <c r="C109" s="732" t="s">
        <v>1353</v>
      </c>
      <c r="D109" s="732"/>
      <c r="E109" s="732"/>
      <c r="F109" s="732"/>
      <c r="G109" s="732"/>
      <c r="H109" s="732"/>
      <c r="I109" s="732"/>
      <c r="J109" s="734"/>
    </row>
    <row r="110" spans="1:11" ht="12.75" customHeight="1">
      <c r="A110" s="731"/>
      <c r="B110" s="732"/>
      <c r="C110" s="732" t="s">
        <v>1354</v>
      </c>
      <c r="D110" s="732"/>
      <c r="E110" s="732"/>
      <c r="F110" s="732"/>
      <c r="G110" s="732"/>
      <c r="H110" s="732"/>
      <c r="I110" s="732"/>
      <c r="J110" s="734"/>
    </row>
    <row r="111" spans="1:11" ht="12.75" customHeight="1">
      <c r="A111" s="731"/>
      <c r="B111" s="732"/>
      <c r="C111" s="732"/>
      <c r="D111" s="732"/>
      <c r="E111" s="732"/>
      <c r="F111" s="732"/>
      <c r="G111" s="732"/>
      <c r="H111" s="732"/>
      <c r="I111" s="732"/>
      <c r="J111" s="734"/>
    </row>
    <row r="112" spans="1:11" ht="12.75" customHeight="1">
      <c r="A112" s="731"/>
      <c r="B112" s="732"/>
      <c r="C112" s="732"/>
      <c r="D112" s="732"/>
      <c r="E112" s="732"/>
      <c r="F112" s="732"/>
      <c r="G112" s="732"/>
      <c r="H112" s="732"/>
      <c r="I112" s="732"/>
      <c r="J112" s="734"/>
    </row>
    <row r="113" spans="1:10" ht="12.75" customHeight="1">
      <c r="A113" s="847" t="s">
        <v>590</v>
      </c>
      <c r="B113" s="771" t="str">
        <f>B55</f>
        <v xml:space="preserve">Vessel Engineering Software, </v>
      </c>
      <c r="C113" s="771"/>
      <c r="D113" s="771"/>
      <c r="E113" s="771"/>
      <c r="F113" s="772" t="s">
        <v>592</v>
      </c>
      <c r="G113" s="771" t="str">
        <f>G55</f>
        <v>P3350</v>
      </c>
      <c r="H113" s="771"/>
      <c r="I113" s="771"/>
      <c r="J113" s="773"/>
    </row>
    <row r="114" spans="1:10" ht="12.75" customHeight="1">
      <c r="A114" s="848" t="s">
        <v>594</v>
      </c>
      <c r="B114" s="776" t="str">
        <f>B56</f>
        <v>Zeeland Refinery</v>
      </c>
      <c r="C114" s="776"/>
      <c r="D114" s="776"/>
      <c r="E114" s="776"/>
      <c r="F114" s="777" t="s">
        <v>596</v>
      </c>
      <c r="G114" s="776" t="str">
        <f>G56</f>
        <v>293H02</v>
      </c>
      <c r="H114" s="776"/>
      <c r="I114" s="776"/>
      <c r="J114" s="778"/>
    </row>
    <row r="115" spans="1:10" ht="12.75" customHeight="1">
      <c r="A115" s="848" t="s">
        <v>598</v>
      </c>
      <c r="B115" s="776" t="str">
        <f>B57</f>
        <v>Vlissingen</v>
      </c>
      <c r="C115" s="776"/>
      <c r="D115" s="776"/>
      <c r="E115" s="776"/>
      <c r="F115" s="777" t="s">
        <v>600</v>
      </c>
      <c r="G115" s="776" t="str">
        <f>G57</f>
        <v>FLANGE pos 52</v>
      </c>
      <c r="H115" s="776"/>
      <c r="I115" s="776"/>
      <c r="J115" s="778"/>
    </row>
    <row r="116" spans="1:10" ht="12.75" customHeight="1">
      <c r="A116" s="849" t="s">
        <v>982</v>
      </c>
      <c r="B116" s="781" t="str">
        <f>B58</f>
        <v>VES [13]</v>
      </c>
      <c r="C116" s="781"/>
      <c r="D116" s="781"/>
      <c r="E116" s="781"/>
      <c r="F116" s="782" t="s">
        <v>604</v>
      </c>
      <c r="G116" s="781" t="str">
        <f>G58</f>
        <v>0</v>
      </c>
      <c r="H116" s="781"/>
      <c r="I116" s="781"/>
      <c r="J116" s="783"/>
    </row>
    <row r="117" spans="1:10" ht="12.75" customHeight="1">
      <c r="A117" s="850" t="s">
        <v>605</v>
      </c>
      <c r="B117" s="851">
        <f ca="1">B59</f>
        <v>42277.628329629631</v>
      </c>
      <c r="C117" s="852"/>
      <c r="D117" s="787" t="s">
        <v>606</v>
      </c>
      <c r="E117" s="788"/>
      <c r="F117" s="789" t="s">
        <v>985</v>
      </c>
      <c r="G117" s="790" t="str">
        <f>G59</f>
        <v>ADM B7/8</v>
      </c>
      <c r="H117" s="787" t="s">
        <v>609</v>
      </c>
      <c r="I117" s="788" t="s">
        <v>1355</v>
      </c>
      <c r="J117" s="791"/>
    </row>
  </sheetData>
  <phoneticPr fontId="7" type="noConversion"/>
  <conditionalFormatting sqref="E106 G106 I106">
    <cfRule type="cellIs" dxfId="21" priority="1" stopIfTrue="1" operator="notBetween">
      <formula>0.5</formula>
      <formula>1</formula>
    </cfRule>
  </conditionalFormatting>
  <conditionalFormatting sqref="E107 G107 I107">
    <cfRule type="cellIs" dxfId="20" priority="2" stopIfTrue="1" operator="notBetween">
      <formula>0.1</formula>
      <formula>0.3</formula>
    </cfRule>
  </conditionalFormatting>
  <conditionalFormatting sqref="E108">
    <cfRule type="cellIs" dxfId="19" priority="3" stopIfTrue="1" operator="greaterThan">
      <formula>$E$66</formula>
    </cfRule>
  </conditionalFormatting>
  <conditionalFormatting sqref="E63">
    <cfRule type="cellIs" dxfId="18" priority="4" stopIfTrue="1" operator="greaterThan">
      <formula>$E$64</formula>
    </cfRule>
  </conditionalFormatting>
  <conditionalFormatting sqref="E83">
    <cfRule type="cellIs" dxfId="17" priority="5" stopIfTrue="1" operator="greaterThan">
      <formula>$E$79</formula>
    </cfRule>
  </conditionalFormatting>
  <printOptions horizontalCentered="1" verticalCentered="1"/>
  <pageMargins left="0" right="0" top="0" bottom="0" header="0" footer="0"/>
  <pageSetup paperSize="9" orientation="portrait" horizontalDpi="300" verticalDpi="300" r:id="rId1"/>
  <headerFooter alignWithMargins="0"/>
  <rowBreaks count="2" manualBreakCount="2">
    <brk id="59" max="16383" man="1"/>
    <brk id="117"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3313" r:id="rId4" name="Drop Down 1">
              <controlPr defaultSize="0" autoLine="0" autoPict="0">
                <anchor moveWithCells="1">
                  <from>
                    <xdr:col>4</xdr:col>
                    <xdr:colOff>19050</xdr:colOff>
                    <xdr:row>28</xdr:row>
                    <xdr:rowOff>19050</xdr:rowOff>
                  </from>
                  <to>
                    <xdr:col>4</xdr:col>
                    <xdr:colOff>1152525</xdr:colOff>
                    <xdr:row>29</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X179"/>
  <sheetViews>
    <sheetView showGridLines="0" zoomScaleNormal="100" workbookViewId="0">
      <selection activeCell="L118" sqref="L118"/>
    </sheetView>
  </sheetViews>
  <sheetFormatPr defaultRowHeight="12.75" customHeight="1"/>
  <cols>
    <col min="1" max="2" width="9.140625" style="592" customWidth="1"/>
    <col min="3" max="3" width="10.5703125" style="592" customWidth="1"/>
    <col min="4" max="4" width="9" style="592" customWidth="1"/>
    <col min="5" max="5" width="17.5703125" style="592" customWidth="1"/>
    <col min="6" max="9" width="9.140625" style="592" customWidth="1"/>
    <col min="10" max="10" width="8" style="592" customWidth="1"/>
    <col min="11" max="14" width="9.140625" style="592" customWidth="1"/>
    <col min="15" max="15" width="10.85546875" style="592" customWidth="1"/>
    <col min="16" max="16" width="9.140625" style="592" customWidth="1"/>
    <col min="17" max="17" width="15.140625" style="592" customWidth="1"/>
    <col min="18" max="16384" width="9.140625" style="592"/>
  </cols>
  <sheetData>
    <row r="1" spans="1:11" ht="12.75" customHeight="1">
      <c r="A1" s="589" t="s">
        <v>1114</v>
      </c>
      <c r="B1" s="590"/>
      <c r="C1" s="589" t="s">
        <v>1115</v>
      </c>
      <c r="D1" s="591"/>
      <c r="E1" s="591"/>
      <c r="F1" s="591"/>
      <c r="G1" s="590"/>
      <c r="H1" s="589" t="s">
        <v>1116</v>
      </c>
      <c r="I1" s="591"/>
      <c r="J1" s="590"/>
    </row>
    <row r="2" spans="1:11" ht="12.75" customHeight="1">
      <c r="A2" s="593" t="s">
        <v>1117</v>
      </c>
      <c r="B2" s="594"/>
      <c r="C2" s="593" t="s">
        <v>1118</v>
      </c>
      <c r="D2" s="595"/>
      <c r="E2" s="595"/>
      <c r="F2" s="595"/>
      <c r="G2" s="594"/>
      <c r="H2" s="593" t="s">
        <v>1119</v>
      </c>
      <c r="I2" s="595"/>
      <c r="J2" s="594"/>
    </row>
    <row r="3" spans="1:11" ht="12.75" customHeight="1">
      <c r="A3" s="596" t="s">
        <v>535</v>
      </c>
      <c r="B3" s="597"/>
      <c r="C3" s="597"/>
      <c r="D3" s="598" t="s">
        <v>810</v>
      </c>
      <c r="E3" s="963">
        <v>0.35</v>
      </c>
      <c r="F3" s="599"/>
      <c r="G3" s="597" t="s">
        <v>536</v>
      </c>
      <c r="H3" s="597"/>
      <c r="I3" s="597"/>
      <c r="J3" s="600"/>
    </row>
    <row r="4" spans="1:11" ht="12.75" customHeight="1">
      <c r="A4" s="601" t="s">
        <v>537</v>
      </c>
      <c r="B4" s="602"/>
      <c r="C4" s="602"/>
      <c r="D4" s="603" t="s">
        <v>1120</v>
      </c>
      <c r="E4" s="964">
        <v>0.64</v>
      </c>
      <c r="F4" s="604"/>
      <c r="G4" s="602" t="s">
        <v>536</v>
      </c>
      <c r="H4" s="602"/>
      <c r="I4" s="602"/>
      <c r="J4" s="605"/>
    </row>
    <row r="5" spans="1:11" ht="12.75" customHeight="1">
      <c r="A5" s="601" t="s">
        <v>1121</v>
      </c>
      <c r="B5" s="602"/>
      <c r="C5" s="602"/>
      <c r="D5" s="603" t="s">
        <v>1410</v>
      </c>
      <c r="E5" s="964">
        <v>0</v>
      </c>
      <c r="F5" s="604"/>
      <c r="G5" s="602" t="s">
        <v>91</v>
      </c>
      <c r="H5" s="606" t="s">
        <v>1122</v>
      </c>
      <c r="I5" s="602"/>
      <c r="J5" s="605"/>
      <c r="K5" s="927" t="s">
        <v>1418</v>
      </c>
    </row>
    <row r="6" spans="1:11" ht="12.75" customHeight="1">
      <c r="A6" s="601" t="s">
        <v>1123</v>
      </c>
      <c r="B6" s="602"/>
      <c r="C6" s="602"/>
      <c r="D6" s="603" t="s">
        <v>1124</v>
      </c>
      <c r="E6" s="964">
        <v>0</v>
      </c>
      <c r="F6" s="604"/>
      <c r="G6" s="602" t="s">
        <v>1125</v>
      </c>
      <c r="H6" s="606" t="s">
        <v>1122</v>
      </c>
      <c r="I6" s="602"/>
      <c r="J6" s="605"/>
    </row>
    <row r="7" spans="1:11" ht="12.75" customHeight="1">
      <c r="A7" s="607" t="s">
        <v>538</v>
      </c>
      <c r="B7" s="608"/>
      <c r="C7" s="608"/>
      <c r="D7" s="609" t="s">
        <v>1126</v>
      </c>
      <c r="E7" s="965">
        <v>370</v>
      </c>
      <c r="F7" s="610"/>
      <c r="G7" s="608" t="s">
        <v>154</v>
      </c>
      <c r="H7" s="608"/>
      <c r="I7" s="608"/>
      <c r="J7" s="611"/>
    </row>
    <row r="8" spans="1:11" ht="12.75" customHeight="1">
      <c r="A8" s="612" t="s">
        <v>1127</v>
      </c>
      <c r="B8" s="613"/>
      <c r="C8" s="613"/>
      <c r="D8" s="614"/>
      <c r="E8" s="615"/>
      <c r="F8" s="613"/>
      <c r="G8" s="613"/>
      <c r="H8" s="613"/>
      <c r="I8" s="613"/>
      <c r="J8" s="616"/>
    </row>
    <row r="9" spans="1:11" ht="12.75" customHeight="1">
      <c r="A9" s="617" t="s">
        <v>1128</v>
      </c>
      <c r="B9" s="618"/>
      <c r="C9" s="618"/>
      <c r="D9" s="619"/>
      <c r="E9" s="966" t="s">
        <v>541</v>
      </c>
      <c r="F9" s="620"/>
      <c r="G9" s="618" t="s">
        <v>116</v>
      </c>
      <c r="H9" s="618"/>
      <c r="I9" s="618"/>
      <c r="J9" s="621"/>
    </row>
    <row r="10" spans="1:11" ht="12.75" customHeight="1">
      <c r="A10" s="622" t="s">
        <v>1129</v>
      </c>
      <c r="B10" s="602"/>
      <c r="C10" s="602"/>
      <c r="D10" s="603" t="s">
        <v>212</v>
      </c>
      <c r="E10" s="967">
        <v>177.2</v>
      </c>
      <c r="F10" s="604"/>
      <c r="G10" s="602" t="s">
        <v>536</v>
      </c>
      <c r="H10" s="602"/>
      <c r="I10" s="602"/>
      <c r="J10" s="605"/>
    </row>
    <row r="11" spans="1:11" ht="12.75" customHeight="1">
      <c r="A11" s="622" t="s">
        <v>1130</v>
      </c>
      <c r="B11" s="602"/>
      <c r="C11" s="602"/>
      <c r="D11" s="603" t="s">
        <v>1131</v>
      </c>
      <c r="E11" s="967">
        <v>250</v>
      </c>
      <c r="F11" s="604"/>
      <c r="G11" s="602" t="s">
        <v>536</v>
      </c>
      <c r="H11" s="602"/>
      <c r="I11" s="602"/>
      <c r="J11" s="605"/>
    </row>
    <row r="12" spans="1:11" ht="12.75" customHeight="1">
      <c r="A12" s="622" t="s">
        <v>1132</v>
      </c>
      <c r="B12" s="602"/>
      <c r="C12" s="602"/>
      <c r="D12" s="603" t="s">
        <v>1068</v>
      </c>
      <c r="E12" s="925">
        <v>1.5</v>
      </c>
      <c r="F12" s="604"/>
      <c r="G12" s="602" t="s">
        <v>116</v>
      </c>
      <c r="H12" s="602"/>
      <c r="I12" s="602"/>
      <c r="J12" s="605"/>
      <c r="K12" s="927" t="s">
        <v>1407</v>
      </c>
    </row>
    <row r="13" spans="1:11" ht="12.75" customHeight="1">
      <c r="A13" s="622" t="s">
        <v>1133</v>
      </c>
      <c r="B13" s="602"/>
      <c r="C13" s="602"/>
      <c r="D13" s="603" t="s">
        <v>1134</v>
      </c>
      <c r="E13" s="925">
        <v>1.1000000000000001</v>
      </c>
      <c r="F13" s="604"/>
      <c r="G13" s="602" t="s">
        <v>116</v>
      </c>
      <c r="H13" s="602"/>
      <c r="I13" s="602"/>
      <c r="J13" s="605"/>
    </row>
    <row r="14" spans="1:11" ht="12.75" customHeight="1">
      <c r="A14" s="622" t="s">
        <v>17</v>
      </c>
      <c r="B14" s="602"/>
      <c r="C14" s="602"/>
      <c r="D14" s="603" t="s">
        <v>1135</v>
      </c>
      <c r="E14" s="964">
        <v>185400</v>
      </c>
      <c r="F14" s="604"/>
      <c r="G14" s="602" t="s">
        <v>536</v>
      </c>
      <c r="H14" s="602"/>
      <c r="I14" s="602"/>
      <c r="J14" s="605"/>
    </row>
    <row r="15" spans="1:11" ht="11.25">
      <c r="A15" s="622" t="s">
        <v>937</v>
      </c>
      <c r="B15" s="602"/>
      <c r="C15" s="602"/>
      <c r="D15" s="603" t="s">
        <v>1136</v>
      </c>
      <c r="E15" s="964">
        <v>212000</v>
      </c>
      <c r="F15" s="604"/>
      <c r="G15" s="602" t="s">
        <v>536</v>
      </c>
      <c r="H15" s="602"/>
      <c r="I15" s="602"/>
      <c r="J15" s="605"/>
    </row>
    <row r="16" spans="1:11" ht="12.75" customHeight="1">
      <c r="A16" s="617" t="s">
        <v>1137</v>
      </c>
      <c r="B16" s="618"/>
      <c r="C16" s="618"/>
      <c r="D16" s="623" t="s">
        <v>65</v>
      </c>
      <c r="E16" s="966">
        <v>1710</v>
      </c>
      <c r="F16" s="618"/>
      <c r="G16" s="618" t="s">
        <v>104</v>
      </c>
      <c r="H16" s="618"/>
      <c r="I16" s="618"/>
      <c r="J16" s="621"/>
    </row>
    <row r="17" spans="1:23" ht="12.75" customHeight="1">
      <c r="A17" s="622" t="s">
        <v>550</v>
      </c>
      <c r="B17" s="602"/>
      <c r="C17" s="602"/>
      <c r="D17" s="603" t="s">
        <v>67</v>
      </c>
      <c r="E17" s="968">
        <v>1660</v>
      </c>
      <c r="F17" s="602"/>
      <c r="G17" s="602" t="s">
        <v>104</v>
      </c>
      <c r="H17" s="602"/>
      <c r="I17" s="602"/>
      <c r="J17" s="605"/>
    </row>
    <row r="18" spans="1:23" ht="12.75" customHeight="1">
      <c r="A18" s="622" t="s">
        <v>1138</v>
      </c>
      <c r="B18" s="602"/>
      <c r="C18" s="602"/>
      <c r="D18" s="603" t="s">
        <v>41</v>
      </c>
      <c r="E18" s="968">
        <v>1550</v>
      </c>
      <c r="F18" s="602"/>
      <c r="G18" s="602" t="s">
        <v>104</v>
      </c>
      <c r="H18" s="602"/>
      <c r="I18" s="602"/>
      <c r="J18" s="605"/>
    </row>
    <row r="19" spans="1:23" ht="12.75" customHeight="1">
      <c r="A19" s="622" t="s">
        <v>1139</v>
      </c>
      <c r="B19" s="602"/>
      <c r="C19" s="602"/>
      <c r="D19" s="603" t="s">
        <v>68</v>
      </c>
      <c r="E19" s="968">
        <v>40</v>
      </c>
      <c r="F19" s="602"/>
      <c r="G19" s="602" t="s">
        <v>104</v>
      </c>
      <c r="H19" s="624"/>
      <c r="I19" s="602"/>
      <c r="J19" s="605"/>
    </row>
    <row r="20" spans="1:23" ht="12.75" customHeight="1">
      <c r="A20" s="622" t="s">
        <v>551</v>
      </c>
      <c r="B20" s="602"/>
      <c r="C20" s="602"/>
      <c r="D20" s="603" t="s">
        <v>1140</v>
      </c>
      <c r="E20" s="968">
        <v>94</v>
      </c>
      <c r="F20" s="602"/>
      <c r="G20" s="602" t="s">
        <v>104</v>
      </c>
      <c r="H20" s="602"/>
      <c r="I20" s="602"/>
      <c r="J20" s="605"/>
    </row>
    <row r="21" spans="1:23" ht="12.75" customHeight="1">
      <c r="A21" s="622" t="s">
        <v>1141</v>
      </c>
      <c r="B21" s="602"/>
      <c r="C21" s="602"/>
      <c r="D21" s="603" t="s">
        <v>1142</v>
      </c>
      <c r="E21" s="968">
        <v>16</v>
      </c>
      <c r="F21" s="602"/>
      <c r="G21" s="602" t="s">
        <v>104</v>
      </c>
      <c r="H21" s="602"/>
      <c r="I21" s="602"/>
      <c r="J21" s="605"/>
    </row>
    <row r="22" spans="1:23" ht="12.75" customHeight="1">
      <c r="A22" s="622" t="s">
        <v>557</v>
      </c>
      <c r="B22" s="602"/>
      <c r="C22" s="602"/>
      <c r="D22" s="603" t="s">
        <v>1143</v>
      </c>
      <c r="E22" s="968">
        <v>25</v>
      </c>
      <c r="F22" s="602"/>
      <c r="G22" s="602" t="s">
        <v>104</v>
      </c>
      <c r="H22" s="602"/>
      <c r="I22" s="602"/>
      <c r="J22" s="605"/>
    </row>
    <row r="23" spans="1:23" ht="11.25">
      <c r="A23" s="607" t="s">
        <v>553</v>
      </c>
      <c r="B23" s="608"/>
      <c r="C23" s="608"/>
      <c r="D23" s="609" t="s">
        <v>1144</v>
      </c>
      <c r="E23" s="969">
        <v>6</v>
      </c>
      <c r="F23" s="608"/>
      <c r="G23" s="608" t="s">
        <v>104</v>
      </c>
      <c r="H23" s="608"/>
      <c r="I23" s="608"/>
      <c r="J23" s="611"/>
    </row>
    <row r="24" spans="1:23" ht="12.75" customHeight="1">
      <c r="A24" s="612" t="s">
        <v>1145</v>
      </c>
      <c r="B24" s="613"/>
      <c r="C24" s="613"/>
      <c r="D24" s="614"/>
      <c r="E24" s="615"/>
      <c r="F24" s="613"/>
      <c r="G24" s="613"/>
      <c r="H24" s="613"/>
      <c r="I24" s="613"/>
      <c r="J24" s="616"/>
    </row>
    <row r="25" spans="1:23" ht="12.75" customHeight="1">
      <c r="A25" s="617" t="s">
        <v>1128</v>
      </c>
      <c r="B25" s="618"/>
      <c r="C25" s="618"/>
      <c r="D25" s="619"/>
      <c r="E25" s="966" t="s">
        <v>563</v>
      </c>
      <c r="F25" s="620"/>
      <c r="G25" s="618" t="s">
        <v>1146</v>
      </c>
      <c r="H25" s="618"/>
      <c r="I25" s="618"/>
      <c r="J25" s="621"/>
    </row>
    <row r="26" spans="1:23" ht="12.75" customHeight="1">
      <c r="A26" s="622" t="s">
        <v>1129</v>
      </c>
      <c r="B26" s="602"/>
      <c r="C26" s="602"/>
      <c r="D26" s="603" t="s">
        <v>1147</v>
      </c>
      <c r="E26" s="967">
        <v>387</v>
      </c>
      <c r="F26" s="604"/>
      <c r="G26" s="602" t="s">
        <v>536</v>
      </c>
      <c r="H26" s="602"/>
      <c r="I26" s="602"/>
      <c r="J26" s="605"/>
    </row>
    <row r="27" spans="1:23" ht="12.75" customHeight="1">
      <c r="A27" s="622" t="s">
        <v>1130</v>
      </c>
      <c r="B27" s="602"/>
      <c r="C27" s="602"/>
      <c r="D27" s="603" t="s">
        <v>1148</v>
      </c>
      <c r="E27" s="967">
        <v>725</v>
      </c>
      <c r="F27" s="604"/>
      <c r="G27" s="602" t="s">
        <v>536</v>
      </c>
      <c r="H27" s="602"/>
      <c r="I27" s="602"/>
      <c r="J27" s="605"/>
    </row>
    <row r="28" spans="1:23" ht="12.75" customHeight="1">
      <c r="A28" s="622" t="s">
        <v>1149</v>
      </c>
      <c r="B28" s="602"/>
      <c r="C28" s="602"/>
      <c r="D28" s="603" t="s">
        <v>1150</v>
      </c>
      <c r="E28" s="925">
        <v>1.8</v>
      </c>
      <c r="F28" s="604"/>
      <c r="G28" s="602" t="s">
        <v>116</v>
      </c>
      <c r="H28" s="606" t="s">
        <v>1404</v>
      </c>
      <c r="I28" s="602"/>
      <c r="J28" s="605"/>
      <c r="Q28" s="717" t="s">
        <v>1406</v>
      </c>
      <c r="R28" s="717"/>
      <c r="S28" s="717"/>
      <c r="T28" s="717"/>
      <c r="U28" s="717"/>
      <c r="V28" s="717"/>
      <c r="W28" s="717"/>
    </row>
    <row r="29" spans="1:23" ht="12.75" customHeight="1">
      <c r="A29" s="622" t="s">
        <v>1133</v>
      </c>
      <c r="B29" s="602"/>
      <c r="C29" s="602"/>
      <c r="D29" s="603" t="s">
        <v>1151</v>
      </c>
      <c r="E29" s="925">
        <v>1.3</v>
      </c>
      <c r="F29" s="604"/>
      <c r="G29" s="602" t="s">
        <v>116</v>
      </c>
      <c r="H29" s="606" t="s">
        <v>1405</v>
      </c>
      <c r="I29" s="602"/>
      <c r="J29" s="605"/>
      <c r="Q29" s="880"/>
      <c r="R29" s="880" t="s">
        <v>316</v>
      </c>
      <c r="S29" s="880" t="s">
        <v>444</v>
      </c>
      <c r="T29" s="880" t="s">
        <v>335</v>
      </c>
      <c r="U29" s="717"/>
      <c r="V29" s="717"/>
      <c r="W29" s="717"/>
    </row>
    <row r="30" spans="1:23" ht="12.75" customHeight="1">
      <c r="A30" s="617" t="s">
        <v>952</v>
      </c>
      <c r="B30" s="618"/>
      <c r="C30" s="618"/>
      <c r="D30" s="619" t="s">
        <v>82</v>
      </c>
      <c r="E30" s="966">
        <v>23</v>
      </c>
      <c r="F30" s="620"/>
      <c r="G30" s="618" t="s">
        <v>104</v>
      </c>
      <c r="H30" s="618"/>
      <c r="I30" s="618"/>
      <c r="J30" s="621"/>
      <c r="Q30" s="880"/>
      <c r="R30" s="880"/>
      <c r="S30" s="880"/>
      <c r="T30" s="880"/>
      <c r="U30" s="717"/>
      <c r="V30" s="717"/>
      <c r="W30" s="717"/>
    </row>
    <row r="31" spans="1:23" ht="12.75" customHeight="1">
      <c r="A31" s="622" t="s">
        <v>567</v>
      </c>
      <c r="B31" s="602"/>
      <c r="C31" s="602"/>
      <c r="D31" s="603" t="s">
        <v>1152</v>
      </c>
      <c r="E31" s="964">
        <v>40</v>
      </c>
      <c r="F31" s="604"/>
      <c r="G31" s="602" t="s">
        <v>1146</v>
      </c>
      <c r="H31" s="602"/>
      <c r="I31" s="602"/>
      <c r="J31" s="605"/>
      <c r="P31" s="592" t="s">
        <v>1403</v>
      </c>
      <c r="Q31" s="880" t="s">
        <v>1366</v>
      </c>
      <c r="R31" s="881">
        <v>1.8</v>
      </c>
      <c r="S31" s="881">
        <v>1.3</v>
      </c>
      <c r="T31" s="881">
        <v>1.3</v>
      </c>
      <c r="U31" s="717" t="s">
        <v>1371</v>
      </c>
      <c r="V31" s="717"/>
      <c r="W31" s="717"/>
    </row>
    <row r="32" spans="1:23" ht="16.5" customHeight="1">
      <c r="A32" s="622"/>
      <c r="B32" s="602"/>
      <c r="C32" s="602"/>
      <c r="D32" s="603"/>
      <c r="E32" s="923"/>
      <c r="F32" s="604"/>
      <c r="G32" s="602"/>
      <c r="H32" s="602"/>
      <c r="I32" s="602"/>
      <c r="J32" s="605"/>
      <c r="K32" s="976">
        <v>3</v>
      </c>
      <c r="P32" s="592" t="s">
        <v>1402</v>
      </c>
      <c r="Q32" s="880"/>
      <c r="R32" s="881">
        <v>1.6</v>
      </c>
      <c r="S32" s="881">
        <v>1.2</v>
      </c>
      <c r="T32" s="881">
        <v>1.2</v>
      </c>
      <c r="U32" s="717"/>
      <c r="V32" s="717"/>
      <c r="W32" s="717"/>
    </row>
    <row r="33" spans="1:23" s="625" customFormat="1" ht="12.75" customHeight="1">
      <c r="A33" s="622" t="s">
        <v>1153</v>
      </c>
      <c r="B33" s="602"/>
      <c r="C33" s="602"/>
      <c r="D33" s="603" t="s">
        <v>1154</v>
      </c>
      <c r="E33" s="860">
        <f>VLOOKUP($K$32,boltdimension,4)</f>
        <v>19.05</v>
      </c>
      <c r="F33" s="604"/>
      <c r="G33" s="602" t="s">
        <v>104</v>
      </c>
      <c r="H33" s="602"/>
      <c r="I33" s="602"/>
      <c r="J33" s="605"/>
      <c r="P33" s="592" t="s">
        <v>1403</v>
      </c>
      <c r="Q33" s="883" t="s">
        <v>1367</v>
      </c>
      <c r="R33" s="884">
        <v>1.5</v>
      </c>
      <c r="S33" s="884">
        <v>1.1000000000000001</v>
      </c>
      <c r="T33" s="884">
        <v>1.1000000000000001</v>
      </c>
      <c r="U33" s="717" t="s">
        <v>1375</v>
      </c>
      <c r="V33" s="717"/>
      <c r="W33" s="717"/>
    </row>
    <row r="34" spans="1:23" s="625" customFormat="1" ht="12.75" customHeight="1">
      <c r="A34" s="622" t="s">
        <v>1155</v>
      </c>
      <c r="B34" s="602"/>
      <c r="C34" s="602"/>
      <c r="D34" s="603" t="s">
        <v>402</v>
      </c>
      <c r="E34" s="861">
        <f>SQRT(VLOOKUP($K$32,boltdimension,10)*4/PI())</f>
        <v>15.750423926160334</v>
      </c>
      <c r="F34" s="604"/>
      <c r="G34" s="602" t="s">
        <v>104</v>
      </c>
      <c r="H34" s="602"/>
      <c r="I34" s="602"/>
      <c r="J34" s="605"/>
      <c r="K34" s="907" t="s">
        <v>1374</v>
      </c>
      <c r="P34" s="592" t="s">
        <v>1402</v>
      </c>
      <c r="Q34" s="883"/>
      <c r="R34" s="884">
        <v>1.5</v>
      </c>
      <c r="S34" s="884">
        <v>1.1000000000000001</v>
      </c>
      <c r="T34" s="884">
        <v>1.1000000000000001</v>
      </c>
      <c r="U34" s="717"/>
      <c r="V34" s="717"/>
      <c r="W34" s="717"/>
    </row>
    <row r="35" spans="1:23" ht="12.75" customHeight="1">
      <c r="A35" s="607" t="s">
        <v>1156</v>
      </c>
      <c r="B35" s="608"/>
      <c r="C35" s="608"/>
      <c r="D35" s="609" t="s">
        <v>1157</v>
      </c>
      <c r="E35" s="970">
        <v>2000000</v>
      </c>
      <c r="F35" s="610"/>
      <c r="G35" s="608" t="s">
        <v>517</v>
      </c>
      <c r="H35" s="626" t="s">
        <v>1122</v>
      </c>
      <c r="I35" s="608"/>
      <c r="J35" s="611"/>
      <c r="Q35" s="883"/>
      <c r="R35" s="884"/>
      <c r="S35" s="884"/>
      <c r="T35" s="884"/>
      <c r="U35" s="717"/>
      <c r="V35" s="717"/>
      <c r="W35" s="717"/>
    </row>
    <row r="36" spans="1:23" ht="12.75" customHeight="1">
      <c r="A36" s="612" t="s">
        <v>1158</v>
      </c>
      <c r="B36" s="613"/>
      <c r="C36" s="613"/>
      <c r="D36" s="614"/>
      <c r="E36" s="615"/>
      <c r="F36" s="613"/>
      <c r="G36" s="613"/>
      <c r="H36" s="613"/>
      <c r="I36" s="613"/>
      <c r="J36" s="616"/>
      <c r="Q36" s="880"/>
      <c r="R36" s="880"/>
      <c r="S36" s="880"/>
      <c r="T36" s="880"/>
      <c r="U36" s="717"/>
      <c r="V36" s="717"/>
      <c r="W36" s="717"/>
    </row>
    <row r="37" spans="1:23" ht="12.75" customHeight="1">
      <c r="A37" s="617" t="s">
        <v>1159</v>
      </c>
      <c r="B37" s="618"/>
      <c r="C37" s="618"/>
      <c r="D37" s="619" t="s">
        <v>1160</v>
      </c>
      <c r="E37" s="966">
        <v>1620</v>
      </c>
      <c r="F37" s="620"/>
      <c r="G37" s="618" t="s">
        <v>104</v>
      </c>
      <c r="H37" s="618"/>
      <c r="I37" s="618"/>
      <c r="J37" s="621"/>
      <c r="Q37" s="880"/>
      <c r="R37" s="880"/>
      <c r="S37" s="880"/>
      <c r="T37" s="880"/>
      <c r="U37" s="717"/>
      <c r="V37" s="717"/>
      <c r="W37" s="717"/>
    </row>
    <row r="38" spans="1:23" ht="12.75" customHeight="1">
      <c r="A38" s="622" t="s">
        <v>963</v>
      </c>
      <c r="B38" s="602"/>
      <c r="C38" s="602"/>
      <c r="D38" s="603" t="s">
        <v>1161</v>
      </c>
      <c r="E38" s="964">
        <v>20</v>
      </c>
      <c r="F38" s="604"/>
      <c r="G38" s="602" t="s">
        <v>104</v>
      </c>
      <c r="H38" s="602"/>
      <c r="I38" s="602"/>
      <c r="J38" s="605"/>
    </row>
    <row r="39" spans="1:23" ht="12.75" customHeight="1">
      <c r="A39" s="622" t="s">
        <v>964</v>
      </c>
      <c r="B39" s="602"/>
      <c r="C39" s="602"/>
      <c r="D39" s="603" t="s">
        <v>671</v>
      </c>
      <c r="E39" s="964">
        <v>3</v>
      </c>
      <c r="F39" s="604"/>
      <c r="G39" s="602" t="s">
        <v>104</v>
      </c>
      <c r="H39" s="602"/>
      <c r="I39" s="602"/>
      <c r="J39" s="605"/>
    </row>
    <row r="40" spans="1:23" ht="12.75" customHeight="1">
      <c r="A40" s="622" t="s">
        <v>1162</v>
      </c>
      <c r="B40" s="602"/>
      <c r="C40" s="602"/>
      <c r="D40" s="603" t="s">
        <v>430</v>
      </c>
      <c r="E40" s="964">
        <v>1</v>
      </c>
      <c r="F40" s="604"/>
      <c r="G40" s="602" t="s">
        <v>116</v>
      </c>
      <c r="H40" s="606" t="s">
        <v>1163</v>
      </c>
      <c r="I40" s="602"/>
      <c r="J40" s="605"/>
    </row>
    <row r="41" spans="1:23" ht="18" customHeight="1">
      <c r="A41" s="622" t="s">
        <v>1164</v>
      </c>
      <c r="B41" s="602"/>
      <c r="C41" s="602"/>
      <c r="D41" s="603"/>
      <c r="E41" s="924"/>
      <c r="F41" s="604"/>
      <c r="G41" s="602" t="s">
        <v>116</v>
      </c>
      <c r="H41" s="606" t="s">
        <v>1166</v>
      </c>
      <c r="I41" s="602"/>
      <c r="J41" s="605"/>
      <c r="K41" s="976">
        <v>1</v>
      </c>
      <c r="M41" s="937"/>
      <c r="Q41" s="592" t="s">
        <v>1449</v>
      </c>
      <c r="R41" s="592">
        <v>0.1</v>
      </c>
    </row>
    <row r="42" spans="1:23" ht="12.75" customHeight="1">
      <c r="A42" s="622" t="s">
        <v>1167</v>
      </c>
      <c r="B42" s="602"/>
      <c r="C42" s="602"/>
      <c r="D42" s="603"/>
      <c r="E42" s="964">
        <v>30</v>
      </c>
      <c r="F42" s="604"/>
      <c r="G42" s="602" t="s">
        <v>116</v>
      </c>
      <c r="H42" s="606" t="s">
        <v>1168</v>
      </c>
      <c r="I42" s="602"/>
      <c r="J42" s="605"/>
      <c r="Q42" s="592" t="s">
        <v>1450</v>
      </c>
      <c r="R42" s="592">
        <v>0.2</v>
      </c>
    </row>
    <row r="43" spans="1:23" ht="12.75" customHeight="1">
      <c r="A43" s="622" t="s">
        <v>1169</v>
      </c>
      <c r="B43" s="602"/>
      <c r="C43" s="602"/>
      <c r="D43" s="603"/>
      <c r="E43" s="964" t="s">
        <v>1170</v>
      </c>
      <c r="F43" s="604"/>
      <c r="G43" s="602"/>
      <c r="H43" s="606"/>
      <c r="I43" s="602"/>
      <c r="J43" s="605"/>
    </row>
    <row r="44" spans="1:23" ht="12.75" customHeight="1">
      <c r="A44" s="622" t="s">
        <v>1428</v>
      </c>
      <c r="B44" s="602"/>
      <c r="C44" s="602"/>
      <c r="D44" s="603" t="s">
        <v>1171</v>
      </c>
      <c r="E44" s="971">
        <v>22</v>
      </c>
      <c r="F44" s="604"/>
      <c r="G44" s="602" t="s">
        <v>104</v>
      </c>
      <c r="H44" s="606"/>
      <c r="I44" s="602"/>
      <c r="J44" s="605"/>
      <c r="K44" s="927" t="s">
        <v>1429</v>
      </c>
    </row>
    <row r="45" spans="1:23" ht="11.25">
      <c r="A45" s="622" t="s">
        <v>1172</v>
      </c>
      <c r="B45" s="602"/>
      <c r="C45" s="602"/>
      <c r="D45" s="603" t="s">
        <v>295</v>
      </c>
      <c r="E45" s="964">
        <v>2.5</v>
      </c>
      <c r="F45" s="604" t="s">
        <v>690</v>
      </c>
      <c r="G45" s="602" t="s">
        <v>116</v>
      </c>
      <c r="H45" s="606"/>
      <c r="I45" s="602"/>
      <c r="J45" s="605"/>
    </row>
    <row r="46" spans="1:23" ht="11.25">
      <c r="A46" s="612" t="s">
        <v>1173</v>
      </c>
      <c r="B46" s="613"/>
      <c r="C46" s="613"/>
      <c r="D46" s="614"/>
      <c r="E46" s="615"/>
      <c r="F46" s="613"/>
      <c r="G46" s="613"/>
      <c r="H46" s="615"/>
      <c r="I46" s="613"/>
      <c r="J46" s="616"/>
    </row>
    <row r="47" spans="1:23" ht="11.25">
      <c r="A47" s="627" t="s">
        <v>1174</v>
      </c>
      <c r="B47" s="628"/>
      <c r="C47" s="628"/>
      <c r="D47" s="629" t="s">
        <v>1175</v>
      </c>
      <c r="E47" s="972">
        <v>300</v>
      </c>
      <c r="F47" s="628"/>
      <c r="G47" s="628" t="s">
        <v>1176</v>
      </c>
      <c r="H47" s="630"/>
      <c r="I47" s="628"/>
      <c r="J47" s="631"/>
    </row>
    <row r="48" spans="1:23" ht="11.25">
      <c r="A48" s="607" t="s">
        <v>1177</v>
      </c>
      <c r="B48" s="608"/>
      <c r="C48" s="608"/>
      <c r="D48" s="632" t="s">
        <v>1178</v>
      </c>
      <c r="E48" s="973" t="s">
        <v>1179</v>
      </c>
      <c r="F48" s="626" t="s">
        <v>1180</v>
      </c>
      <c r="G48" s="626"/>
      <c r="H48" s="626"/>
      <c r="I48" s="608"/>
      <c r="J48" s="611"/>
    </row>
    <row r="49" spans="1:10" ht="11.25">
      <c r="A49" s="612" t="s">
        <v>1181</v>
      </c>
      <c r="B49" s="613"/>
      <c r="C49" s="613"/>
      <c r="D49" s="614"/>
      <c r="E49" s="615"/>
      <c r="F49" s="613"/>
      <c r="G49" s="613"/>
      <c r="H49" s="615"/>
      <c r="I49" s="613"/>
      <c r="J49" s="616"/>
    </row>
    <row r="50" spans="1:10" ht="11.25">
      <c r="A50" s="633" t="s">
        <v>1182</v>
      </c>
      <c r="B50" s="634"/>
      <c r="C50" s="634"/>
      <c r="D50" s="635"/>
      <c r="E50" s="974" t="s">
        <v>1183</v>
      </c>
      <c r="F50" s="634"/>
      <c r="G50" s="634" t="s">
        <v>116</v>
      </c>
      <c r="H50" s="636" t="s">
        <v>1168</v>
      </c>
      <c r="I50" s="634"/>
      <c r="J50" s="637"/>
    </row>
    <row r="51" spans="1:10" ht="11.25">
      <c r="A51" s="622" t="s">
        <v>1184</v>
      </c>
      <c r="B51" s="602"/>
      <c r="C51" s="602"/>
      <c r="D51" s="638" t="s">
        <v>1185</v>
      </c>
      <c r="E51" s="967">
        <v>0</v>
      </c>
      <c r="F51" s="602"/>
      <c r="G51" s="602" t="s">
        <v>104</v>
      </c>
      <c r="H51" s="606"/>
      <c r="I51" s="602"/>
      <c r="J51" s="605"/>
    </row>
    <row r="52" spans="1:10" ht="11.25">
      <c r="A52" s="639" t="s">
        <v>1186</v>
      </c>
      <c r="B52" s="602"/>
      <c r="C52" s="602"/>
      <c r="D52" s="638" t="s">
        <v>1187</v>
      </c>
      <c r="E52" s="967">
        <v>0</v>
      </c>
      <c r="F52" s="602"/>
      <c r="G52" s="602" t="s">
        <v>536</v>
      </c>
      <c r="H52" s="606"/>
      <c r="I52" s="602"/>
      <c r="J52" s="605"/>
    </row>
    <row r="53" spans="1:10" ht="11.25">
      <c r="A53" s="607" t="s">
        <v>1188</v>
      </c>
      <c r="B53" s="608"/>
      <c r="C53" s="608"/>
      <c r="D53" s="632" t="s">
        <v>1189</v>
      </c>
      <c r="E53" s="975">
        <v>0</v>
      </c>
      <c r="F53" s="608"/>
      <c r="G53" s="608" t="s">
        <v>536</v>
      </c>
      <c r="H53" s="626"/>
      <c r="I53" s="608"/>
      <c r="J53" s="611"/>
    </row>
    <row r="54" spans="1:10" ht="11.25">
      <c r="A54" s="640"/>
      <c r="B54" s="641"/>
      <c r="C54" s="641"/>
      <c r="D54" s="642"/>
      <c r="E54" s="643"/>
      <c r="F54" s="641"/>
      <c r="G54" s="641"/>
      <c r="H54" s="644"/>
      <c r="I54" s="641"/>
      <c r="J54" s="645"/>
    </row>
    <row r="55" spans="1:10" ht="12.75" customHeight="1">
      <c r="A55" s="646" t="s">
        <v>590</v>
      </c>
      <c r="B55" s="647" t="s">
        <v>981</v>
      </c>
      <c r="C55" s="647"/>
      <c r="D55" s="647"/>
      <c r="E55" s="647"/>
      <c r="F55" s="648" t="s">
        <v>592</v>
      </c>
      <c r="G55" s="647" t="s">
        <v>593</v>
      </c>
      <c r="H55" s="647"/>
      <c r="I55" s="647"/>
      <c r="J55" s="649"/>
    </row>
    <row r="56" spans="1:10" ht="12.75" customHeight="1">
      <c r="A56" s="650" t="s">
        <v>594</v>
      </c>
      <c r="B56" s="651" t="s">
        <v>595</v>
      </c>
      <c r="C56" s="651"/>
      <c r="D56" s="651"/>
      <c r="E56" s="651"/>
      <c r="F56" s="652" t="s">
        <v>596</v>
      </c>
      <c r="G56" s="651" t="s">
        <v>597</v>
      </c>
      <c r="H56" s="651"/>
      <c r="I56" s="651"/>
      <c r="J56" s="653"/>
    </row>
    <row r="57" spans="1:10" ht="12.75" customHeight="1">
      <c r="A57" s="650" t="s">
        <v>598</v>
      </c>
      <c r="B57" s="651" t="s">
        <v>599</v>
      </c>
      <c r="C57" s="651"/>
      <c r="D57" s="651"/>
      <c r="E57" s="651"/>
      <c r="F57" s="652" t="s">
        <v>600</v>
      </c>
      <c r="G57" s="651" t="s">
        <v>601</v>
      </c>
      <c r="H57" s="651"/>
      <c r="I57" s="651"/>
      <c r="J57" s="653"/>
    </row>
    <row r="58" spans="1:10" ht="12.75" customHeight="1">
      <c r="A58" s="654" t="s">
        <v>982</v>
      </c>
      <c r="B58" s="655" t="s">
        <v>983</v>
      </c>
      <c r="C58" s="655"/>
      <c r="D58" s="655"/>
      <c r="E58" s="655"/>
      <c r="F58" s="656" t="s">
        <v>604</v>
      </c>
      <c r="G58" s="655" t="s">
        <v>984</v>
      </c>
      <c r="H58" s="926">
        <v>41590</v>
      </c>
      <c r="I58" s="655"/>
      <c r="J58" s="657"/>
    </row>
    <row r="59" spans="1:10" ht="12.75" customHeight="1">
      <c r="A59" s="658" t="s">
        <v>605</v>
      </c>
      <c r="B59" s="659">
        <f ca="1">NOW()</f>
        <v>42277.628329629631</v>
      </c>
      <c r="C59" s="660"/>
      <c r="D59" s="661" t="s">
        <v>606</v>
      </c>
      <c r="E59" s="662"/>
      <c r="F59" s="663" t="s">
        <v>985</v>
      </c>
      <c r="G59" s="664" t="s">
        <v>463</v>
      </c>
      <c r="H59" s="661"/>
      <c r="I59" s="662" t="s">
        <v>609</v>
      </c>
      <c r="J59" s="665">
        <v>1</v>
      </c>
    </row>
    <row r="60" spans="1:10" ht="12.75" customHeight="1">
      <c r="A60" s="589" t="str">
        <f>A1</f>
        <v>Calculation of</v>
      </c>
      <c r="B60" s="590"/>
      <c r="C60" s="589" t="str">
        <f>C1</f>
        <v>Flanged joint calculation</v>
      </c>
      <c r="D60" s="591"/>
      <c r="E60" s="591"/>
      <c r="F60" s="591"/>
      <c r="G60" s="590"/>
      <c r="H60" s="589" t="str">
        <f>H1</f>
        <v xml:space="preserve"> DIN V 2505</v>
      </c>
      <c r="I60" s="591"/>
      <c r="J60" s="590"/>
    </row>
    <row r="61" spans="1:10" ht="12.75" customHeight="1">
      <c r="A61" s="593" t="str">
        <f>A2</f>
        <v>pressure vessels</v>
      </c>
      <c r="B61" s="594"/>
      <c r="C61" s="593" t="str">
        <f>C2</f>
        <v>Integral flange with hub</v>
      </c>
      <c r="D61" s="595"/>
      <c r="E61" s="595"/>
      <c r="F61" s="595"/>
      <c r="G61" s="594"/>
      <c r="H61" s="593" t="str">
        <f>H2</f>
        <v xml:space="preserve"> January 1986</v>
      </c>
      <c r="I61" s="595"/>
      <c r="J61" s="594"/>
    </row>
    <row r="62" spans="1:10" ht="12.75" customHeight="1">
      <c r="A62" s="666" t="s">
        <v>633</v>
      </c>
      <c r="B62" s="667"/>
      <c r="C62" s="667"/>
      <c r="D62" s="667"/>
      <c r="E62" s="668"/>
      <c r="F62" s="669"/>
      <c r="G62" s="669"/>
      <c r="H62" s="669"/>
      <c r="I62" s="669"/>
      <c r="J62" s="670"/>
    </row>
    <row r="63" spans="1:10" ht="12.75" customHeight="1">
      <c r="A63" s="633" t="s">
        <v>1356</v>
      </c>
      <c r="B63" s="634"/>
      <c r="C63" s="634"/>
      <c r="D63" s="671" t="s">
        <v>66</v>
      </c>
      <c r="E63" s="862">
        <f>$E$18+2*$E$23</f>
        <v>1562</v>
      </c>
      <c r="F63" s="672"/>
      <c r="G63" s="673" t="s">
        <v>104</v>
      </c>
      <c r="H63" s="674"/>
      <c r="I63" s="674"/>
      <c r="J63" s="637"/>
    </row>
    <row r="64" spans="1:10" ht="12.75" customHeight="1">
      <c r="A64" s="633" t="s">
        <v>1408</v>
      </c>
      <c r="B64" s="634"/>
      <c r="C64" s="634"/>
      <c r="D64" s="671" t="s">
        <v>1191</v>
      </c>
      <c r="E64" s="928">
        <f>$E$37-$E$38</f>
        <v>1600</v>
      </c>
      <c r="F64" s="675"/>
      <c r="G64" s="676" t="s">
        <v>104</v>
      </c>
      <c r="H64" s="677"/>
      <c r="I64" s="677"/>
      <c r="J64" s="637"/>
    </row>
    <row r="65" spans="1:16" ht="12.75" customHeight="1">
      <c r="A65" s="633" t="s">
        <v>1192</v>
      </c>
      <c r="B65" s="634"/>
      <c r="C65" s="634"/>
      <c r="D65" s="671" t="s">
        <v>64</v>
      </c>
      <c r="E65" s="928">
        <f>E20</f>
        <v>94</v>
      </c>
      <c r="F65" s="675"/>
      <c r="G65" s="676" t="s">
        <v>104</v>
      </c>
      <c r="H65" s="677"/>
      <c r="I65" s="677"/>
      <c r="J65" s="637"/>
      <c r="K65" s="927" t="s">
        <v>1409</v>
      </c>
    </row>
    <row r="66" spans="1:16" ht="12.75" customHeight="1">
      <c r="A66" s="633" t="s">
        <v>1358</v>
      </c>
      <c r="B66" s="634"/>
      <c r="C66" s="634"/>
      <c r="D66" s="671" t="s">
        <v>1194</v>
      </c>
      <c r="E66" s="863">
        <f>$E$21-$E$23</f>
        <v>10</v>
      </c>
      <c r="F66" s="675"/>
      <c r="G66" s="676" t="s">
        <v>104</v>
      </c>
      <c r="H66" s="677"/>
      <c r="I66" s="677"/>
      <c r="J66" s="637"/>
    </row>
    <row r="67" spans="1:16" ht="12.75" customHeight="1">
      <c r="A67" s="633" t="s">
        <v>1253</v>
      </c>
      <c r="B67" s="634"/>
      <c r="C67" s="634"/>
      <c r="D67" s="671" t="s">
        <v>70</v>
      </c>
      <c r="E67" s="863">
        <f>$E$22-$E$23</f>
        <v>19</v>
      </c>
      <c r="F67" s="675"/>
      <c r="G67" s="676" t="s">
        <v>104</v>
      </c>
      <c r="H67" s="677"/>
      <c r="I67" s="677"/>
      <c r="J67" s="637"/>
    </row>
    <row r="68" spans="1:16" ht="12.75" customHeight="1">
      <c r="A68" s="666" t="s">
        <v>1195</v>
      </c>
      <c r="B68" s="667"/>
      <c r="C68" s="667"/>
      <c r="D68" s="667"/>
      <c r="E68" s="678" t="s">
        <v>1462</v>
      </c>
      <c r="F68" s="678" t="s">
        <v>1197</v>
      </c>
      <c r="G68" s="678"/>
      <c r="H68" s="678" t="s">
        <v>1198</v>
      </c>
      <c r="I68" s="678"/>
      <c r="J68" s="670"/>
      <c r="K68" s="592" t="s">
        <v>1463</v>
      </c>
      <c r="P68" s="592" t="s">
        <v>19</v>
      </c>
    </row>
    <row r="69" spans="1:16" ht="12.75" customHeight="1">
      <c r="A69" s="617" t="s">
        <v>1421</v>
      </c>
      <c r="B69" s="618"/>
      <c r="C69" s="618"/>
      <c r="D69" s="619" t="s">
        <v>1411</v>
      </c>
      <c r="E69" s="929">
        <f>$E$3*PI()*$E$63^2/4</f>
        <v>670687.14880169928</v>
      </c>
      <c r="F69" s="1035">
        <v>0</v>
      </c>
      <c r="G69" s="1036" t="s">
        <v>989</v>
      </c>
      <c r="H69" s="1035">
        <f>$E$4*PI()*$E$63^2/4</f>
        <v>1226399.3578088218</v>
      </c>
      <c r="I69" s="1036">
        <f>$E$3*PI()*$E$63^2/4</f>
        <v>670687.14880169928</v>
      </c>
      <c r="J69" s="680" t="s">
        <v>91</v>
      </c>
      <c r="K69" s="927" t="s">
        <v>1417</v>
      </c>
    </row>
    <row r="70" spans="1:16" ht="12.75" customHeight="1">
      <c r="A70" s="633" t="s">
        <v>1415</v>
      </c>
      <c r="B70" s="634"/>
      <c r="C70" s="634"/>
      <c r="D70" s="671" t="s">
        <v>1412</v>
      </c>
      <c r="E70" s="930">
        <f>$E$5+ABS(4*$E$6/($E$63+$E$66))</f>
        <v>0</v>
      </c>
      <c r="F70" s="1033">
        <f>$E$5+ABS(4*$E$6/($E$63+$E$66))</f>
        <v>0</v>
      </c>
      <c r="G70" s="1034">
        <f>$E$5+ABS(4*$E$6/($E$63+$E$66))</f>
        <v>0</v>
      </c>
      <c r="H70" s="1033">
        <f>$E$5+ABS(4*$E$6/($E$63+$E$66))</f>
        <v>0</v>
      </c>
      <c r="I70" s="1034">
        <f>$E$5+ABS(4*$E$6/($E$63+$E$66))</f>
        <v>0</v>
      </c>
      <c r="J70" s="682" t="s">
        <v>91</v>
      </c>
      <c r="K70" s="927" t="s">
        <v>1424</v>
      </c>
    </row>
    <row r="71" spans="1:16" ht="12.75" customHeight="1">
      <c r="A71" s="622" t="s">
        <v>1414</v>
      </c>
      <c r="B71" s="602"/>
      <c r="C71" s="602"/>
      <c r="D71" s="603" t="s">
        <v>1416</v>
      </c>
      <c r="E71" s="931">
        <f>E69+E70</f>
        <v>670687.14880169928</v>
      </c>
      <c r="F71" s="1033">
        <f>F69+F70</f>
        <v>0</v>
      </c>
      <c r="G71" s="1034" t="e">
        <f>G69+G70</f>
        <v>#VALUE!</v>
      </c>
      <c r="H71" s="1033">
        <f>H69+H70</f>
        <v>1226399.3578088218</v>
      </c>
      <c r="I71" s="1034">
        <f>I69+I70</f>
        <v>670687.14880169928</v>
      </c>
      <c r="J71" s="683" t="s">
        <v>91</v>
      </c>
      <c r="K71" s="927" t="s">
        <v>1413</v>
      </c>
    </row>
    <row r="72" spans="1:16" ht="12.75" customHeight="1">
      <c r="A72" s="622" t="s">
        <v>1420</v>
      </c>
      <c r="B72" s="602"/>
      <c r="C72" s="602"/>
      <c r="D72" s="603" t="s">
        <v>1419</v>
      </c>
      <c r="E72" s="931">
        <f>$E$3*PI()*($E$64^2-$E$63^2)/4</f>
        <v>33029.605602414325</v>
      </c>
      <c r="F72" s="1023" t="s">
        <v>116</v>
      </c>
      <c r="G72" s="1024" t="s">
        <v>989</v>
      </c>
      <c r="H72" s="1033">
        <f>$E$4*PI()*($E$64^2-$E$63^2)/4</f>
        <v>60396.993101557637</v>
      </c>
      <c r="I72" s="1034">
        <f>$E$3*PI()*($E$64^2-$E$63^2)/4</f>
        <v>33029.605602414325</v>
      </c>
      <c r="J72" s="683" t="s">
        <v>91</v>
      </c>
      <c r="K72" s="927" t="s">
        <v>1422</v>
      </c>
    </row>
    <row r="73" spans="1:16" ht="12.75" customHeight="1">
      <c r="A73" s="607" t="s">
        <v>1426</v>
      </c>
      <c r="B73" s="608"/>
      <c r="C73" s="608"/>
      <c r="D73" s="609" t="s">
        <v>1425</v>
      </c>
      <c r="E73" s="932">
        <f>E69+E72</f>
        <v>703716.75440411363</v>
      </c>
      <c r="F73" s="1037" t="s">
        <v>116</v>
      </c>
      <c r="G73" s="1038" t="s">
        <v>989</v>
      </c>
      <c r="H73" s="1030">
        <f>H69+H72</f>
        <v>1286796.3509103796</v>
      </c>
      <c r="I73" s="1031">
        <f>I69+I72</f>
        <v>703716.75440411363</v>
      </c>
      <c r="J73" s="685" t="s">
        <v>91</v>
      </c>
      <c r="K73" s="927" t="s">
        <v>1423</v>
      </c>
    </row>
    <row r="74" spans="1:16" ht="12.75" customHeight="1">
      <c r="A74" s="666" t="s">
        <v>1199</v>
      </c>
      <c r="B74" s="667"/>
      <c r="C74" s="667"/>
      <c r="D74" s="667"/>
      <c r="E74" s="678" t="s">
        <v>1196</v>
      </c>
      <c r="F74" s="678" t="s">
        <v>1197</v>
      </c>
      <c r="G74" s="678"/>
      <c r="H74" s="678" t="s">
        <v>1198</v>
      </c>
      <c r="I74" s="678"/>
      <c r="J74" s="686"/>
    </row>
    <row r="75" spans="1:16" ht="12.75" customHeight="1">
      <c r="A75" s="633" t="s">
        <v>1433</v>
      </c>
      <c r="B75" s="634"/>
      <c r="C75" s="634"/>
      <c r="D75" s="671" t="s">
        <v>1305</v>
      </c>
      <c r="E75" s="681" t="s">
        <v>116</v>
      </c>
      <c r="F75" s="1035">
        <f>PI()*$E$64*$E$47</f>
        <v>1507964.4737231007</v>
      </c>
      <c r="G75" s="1036">
        <f>PI()*E15*E46</f>
        <v>0</v>
      </c>
      <c r="H75" s="1043" t="s">
        <v>116</v>
      </c>
      <c r="I75" s="1044"/>
      <c r="J75" s="687" t="s">
        <v>91</v>
      </c>
      <c r="K75" s="927" t="s">
        <v>1452</v>
      </c>
    </row>
    <row r="76" spans="1:16" ht="12.75" customHeight="1">
      <c r="A76" s="666" t="s">
        <v>1200</v>
      </c>
      <c r="B76" s="667"/>
      <c r="C76" s="667"/>
      <c r="D76" s="667"/>
      <c r="E76" s="678" t="s">
        <v>1196</v>
      </c>
      <c r="F76" s="678" t="s">
        <v>1197</v>
      </c>
      <c r="G76" s="678"/>
      <c r="H76" s="678" t="s">
        <v>1198</v>
      </c>
      <c r="I76" s="678"/>
      <c r="J76" s="686"/>
    </row>
    <row r="77" spans="1:16" ht="12.75" customHeight="1">
      <c r="A77" s="633" t="s">
        <v>1201</v>
      </c>
      <c r="B77" s="634"/>
      <c r="C77" s="634"/>
      <c r="D77" s="671" t="s">
        <v>1202</v>
      </c>
      <c r="E77" s="933">
        <v>1.2</v>
      </c>
      <c r="F77" s="1039" t="s">
        <v>116</v>
      </c>
      <c r="G77" s="1040" t="s">
        <v>989</v>
      </c>
      <c r="H77" s="1041">
        <v>1</v>
      </c>
      <c r="I77" s="1042"/>
      <c r="J77" s="680" t="s">
        <v>116</v>
      </c>
      <c r="K77" s="927" t="s">
        <v>1440</v>
      </c>
    </row>
    <row r="78" spans="1:16" ht="12.75" customHeight="1">
      <c r="A78" s="622" t="s">
        <v>1430</v>
      </c>
      <c r="B78" s="602"/>
      <c r="C78" s="602"/>
      <c r="D78" s="603" t="s">
        <v>1431</v>
      </c>
      <c r="E78" s="931">
        <f>$E$3*PI()*$E$64*$E$77*$E$44</f>
        <v>46445.305790671497</v>
      </c>
      <c r="F78" s="1037" t="s">
        <v>116</v>
      </c>
      <c r="G78" s="1038" t="s">
        <v>989</v>
      </c>
      <c r="H78" s="1030">
        <f>$E$4*PI()*$E$64*$H$77*$E$44</f>
        <v>70773.799300070867</v>
      </c>
      <c r="I78" s="1031">
        <f>$E$3*PI()*$E$64*$E$77*$E$44</f>
        <v>46445.305790671497</v>
      </c>
      <c r="J78" s="688" t="s">
        <v>91</v>
      </c>
      <c r="K78" s="927" t="s">
        <v>1427</v>
      </c>
    </row>
    <row r="79" spans="1:16" ht="12.75" customHeight="1">
      <c r="A79" s="612" t="s">
        <v>1453</v>
      </c>
      <c r="B79" s="613"/>
      <c r="C79" s="613"/>
      <c r="D79" s="614"/>
      <c r="E79" s="678" t="s">
        <v>1196</v>
      </c>
      <c r="F79" s="678" t="s">
        <v>1197</v>
      </c>
      <c r="G79" s="678"/>
      <c r="H79" s="678" t="s">
        <v>1198</v>
      </c>
      <c r="I79" s="678"/>
      <c r="J79" s="686"/>
    </row>
    <row r="80" spans="1:16" ht="12.75" customHeight="1">
      <c r="A80" s="617" t="s">
        <v>1447</v>
      </c>
      <c r="B80" s="618"/>
      <c r="C80" s="618"/>
      <c r="D80" s="619" t="s">
        <v>1432</v>
      </c>
      <c r="E80" s="934">
        <f>E73+E78</f>
        <v>750162.06019478512</v>
      </c>
      <c r="F80" s="1046" t="s">
        <v>116</v>
      </c>
      <c r="G80" s="1046" t="s">
        <v>989</v>
      </c>
      <c r="H80" s="1047">
        <f>H73+H78</f>
        <v>1357570.1502104504</v>
      </c>
      <c r="I80" s="1048">
        <f>I73+I78</f>
        <v>750162.06019478512</v>
      </c>
      <c r="J80" s="680" t="s">
        <v>91</v>
      </c>
      <c r="K80" s="927" t="s">
        <v>1437</v>
      </c>
    </row>
    <row r="81" spans="1:13" ht="12.75" customHeight="1">
      <c r="A81" s="622" t="s">
        <v>1434</v>
      </c>
      <c r="B81" s="602"/>
      <c r="C81" s="602"/>
      <c r="D81" s="603" t="s">
        <v>49</v>
      </c>
      <c r="E81" s="922">
        <f>INDEX($R$41:$R$42,$K$41,)</f>
        <v>0.1</v>
      </c>
      <c r="F81" s="1027" t="s">
        <v>116</v>
      </c>
      <c r="G81" s="1027" t="s">
        <v>989</v>
      </c>
      <c r="H81" s="1029">
        <f>INDEX($R$41:$R$42,$K$41,)</f>
        <v>0.1</v>
      </c>
      <c r="I81" s="1029">
        <f>INDEX($R$41:$R$42,$K$41,)</f>
        <v>0.1</v>
      </c>
      <c r="J81" s="683" t="s">
        <v>116</v>
      </c>
    </row>
    <row r="82" spans="1:13" ht="12.75" customHeight="1">
      <c r="A82" s="622" t="s">
        <v>1451</v>
      </c>
      <c r="B82" s="602"/>
      <c r="C82" s="602"/>
      <c r="D82" s="603"/>
      <c r="E82" s="931">
        <f>E81*$F$75+(1-E81)*SQRT(E80*$F$75)</f>
        <v>1108024.9291936669</v>
      </c>
      <c r="F82" s="1027" t="s">
        <v>116</v>
      </c>
      <c r="G82" s="1027" t="s">
        <v>989</v>
      </c>
      <c r="H82" s="1045">
        <f>H81*$F$75+(1-H81)*SQRT(H80*$F$75)</f>
        <v>1438509.8165870889</v>
      </c>
      <c r="I82" s="1045">
        <f>I81*$F$75+(1-I81)*SQRT(I80*$F$75)</f>
        <v>1108024.9291936669</v>
      </c>
      <c r="J82" s="683" t="s">
        <v>91</v>
      </c>
      <c r="K82" s="927" t="s">
        <v>1448</v>
      </c>
    </row>
    <row r="83" spans="1:13" s="625" customFormat="1" ht="12.75" customHeight="1">
      <c r="A83" s="607" t="s">
        <v>1439</v>
      </c>
      <c r="B83" s="608"/>
      <c r="C83" s="608"/>
      <c r="D83" s="609" t="s">
        <v>1438</v>
      </c>
      <c r="E83" s="932">
        <f>E82-E73</f>
        <v>404308.17478955328</v>
      </c>
      <c r="F83" s="1058" t="s">
        <v>116</v>
      </c>
      <c r="G83" s="1058" t="s">
        <v>989</v>
      </c>
      <c r="H83" s="1057">
        <f>H82-H73</f>
        <v>151713.46567670931</v>
      </c>
      <c r="I83" s="1057">
        <f>I82-I73</f>
        <v>404308.17478955328</v>
      </c>
      <c r="J83" s="685" t="s">
        <v>91</v>
      </c>
      <c r="K83" s="927" t="s">
        <v>1454</v>
      </c>
    </row>
    <row r="84" spans="1:13" ht="12.75" customHeight="1">
      <c r="A84" s="666" t="s">
        <v>1203</v>
      </c>
      <c r="B84" s="667"/>
      <c r="C84" s="667"/>
      <c r="D84" s="667"/>
      <c r="E84" s="678" t="s">
        <v>1196</v>
      </c>
      <c r="F84" s="678" t="s">
        <v>1197</v>
      </c>
      <c r="G84" s="678"/>
      <c r="H84" s="678" t="s">
        <v>1198</v>
      </c>
      <c r="I84" s="678"/>
      <c r="J84" s="686"/>
      <c r="K84" s="592" t="s">
        <v>1482</v>
      </c>
    </row>
    <row r="85" spans="1:13" ht="12.75" customHeight="1">
      <c r="A85" s="617" t="s">
        <v>1442</v>
      </c>
      <c r="B85" s="618"/>
      <c r="C85" s="618"/>
      <c r="D85" s="619" t="s">
        <v>1443</v>
      </c>
      <c r="E85" s="679" t="s">
        <v>116</v>
      </c>
      <c r="F85" s="1021">
        <f>$E$45*$F$75</f>
        <v>3769911.1843077517</v>
      </c>
      <c r="G85" s="1021" t="s">
        <v>989</v>
      </c>
      <c r="H85" s="1022" t="s">
        <v>116</v>
      </c>
      <c r="I85" s="1022"/>
      <c r="J85" s="680" t="s">
        <v>91</v>
      </c>
    </row>
    <row r="86" spans="1:13" ht="12.75" customHeight="1">
      <c r="A86" s="622" t="s">
        <v>1204</v>
      </c>
      <c r="B86" s="602"/>
      <c r="C86" s="602"/>
      <c r="D86" s="603" t="s">
        <v>1205</v>
      </c>
      <c r="E86" s="922">
        <f>SQRT(E40)</f>
        <v>1</v>
      </c>
      <c r="F86" s="1027" t="s">
        <v>116</v>
      </c>
      <c r="G86" s="1027" t="s">
        <v>989</v>
      </c>
      <c r="H86" s="1028" t="s">
        <v>116</v>
      </c>
      <c r="I86" s="1028"/>
      <c r="J86" s="683" t="s">
        <v>91</v>
      </c>
    </row>
    <row r="87" spans="1:13" ht="12.75" customHeight="1">
      <c r="A87" s="622" t="s">
        <v>1206</v>
      </c>
      <c r="B87" s="602"/>
      <c r="C87" s="602"/>
      <c r="D87" s="603" t="s">
        <v>1187</v>
      </c>
      <c r="E87" s="922">
        <f>E52</f>
        <v>0</v>
      </c>
      <c r="F87" s="1023" t="s">
        <v>116</v>
      </c>
      <c r="G87" s="1024" t="s">
        <v>989</v>
      </c>
      <c r="H87" s="1025" t="s">
        <v>116</v>
      </c>
      <c r="I87" s="1026"/>
      <c r="J87" s="683" t="s">
        <v>536</v>
      </c>
    </row>
    <row r="88" spans="1:13" ht="12.75" customHeight="1">
      <c r="A88" s="622" t="s">
        <v>1444</v>
      </c>
      <c r="B88" s="602"/>
      <c r="C88" s="602"/>
      <c r="D88" s="603" t="s">
        <v>1441</v>
      </c>
      <c r="E88" s="931">
        <f>PI()*E64*E51*E86*F85/F75*E87</f>
        <v>0</v>
      </c>
      <c r="F88" s="1027" t="s">
        <v>116</v>
      </c>
      <c r="G88" s="1027" t="s">
        <v>989</v>
      </c>
      <c r="H88" s="1027" t="s">
        <v>989</v>
      </c>
      <c r="I88" s="1027"/>
      <c r="J88" s="683" t="s">
        <v>91</v>
      </c>
    </row>
    <row r="89" spans="1:13" s="625" customFormat="1" ht="12.75" customHeight="1">
      <c r="A89" s="607" t="s">
        <v>1445</v>
      </c>
      <c r="B89" s="608"/>
      <c r="C89" s="608"/>
      <c r="D89" s="609" t="s">
        <v>1446</v>
      </c>
      <c r="E89" s="938">
        <f>E78+E73</f>
        <v>750162.06019478512</v>
      </c>
      <c r="F89" s="1058" t="s">
        <v>116</v>
      </c>
      <c r="G89" s="1058" t="s">
        <v>989</v>
      </c>
      <c r="H89" s="1058" t="s">
        <v>989</v>
      </c>
      <c r="I89" s="1058"/>
      <c r="J89" s="685" t="s">
        <v>91</v>
      </c>
    </row>
    <row r="90" spans="1:13" ht="12.75" customHeight="1">
      <c r="A90" s="666" t="s">
        <v>1207</v>
      </c>
      <c r="B90" s="667"/>
      <c r="C90" s="667"/>
      <c r="D90" s="667"/>
      <c r="E90" s="678" t="s">
        <v>1196</v>
      </c>
      <c r="F90" s="678" t="s">
        <v>1197</v>
      </c>
      <c r="G90" s="678"/>
      <c r="H90" s="678" t="s">
        <v>1198</v>
      </c>
      <c r="I90" s="678"/>
      <c r="J90" s="670"/>
    </row>
    <row r="91" spans="1:13" ht="12.75" customHeight="1">
      <c r="A91" s="689" t="s">
        <v>1468</v>
      </c>
      <c r="B91" s="690"/>
      <c r="C91" s="690"/>
      <c r="D91" s="619" t="s">
        <v>1431</v>
      </c>
      <c r="E91" s="934">
        <f>E83</f>
        <v>404308.17478955328</v>
      </c>
      <c r="F91" s="1071">
        <f>H82</f>
        <v>1438509.8165870889</v>
      </c>
      <c r="G91" s="1071" t="s">
        <v>989</v>
      </c>
      <c r="H91" s="1071">
        <f>H83</f>
        <v>151713.46567670931</v>
      </c>
      <c r="I91" s="1071"/>
      <c r="J91" s="680" t="s">
        <v>91</v>
      </c>
    </row>
    <row r="92" spans="1:13" ht="12.75" customHeight="1">
      <c r="A92" s="622" t="s">
        <v>1457</v>
      </c>
      <c r="B92" s="602"/>
      <c r="C92" s="602"/>
      <c r="D92" s="603" t="s">
        <v>1456</v>
      </c>
      <c r="E92" s="931">
        <f>E69+E70+E72+E91</f>
        <v>1108024.9291936669</v>
      </c>
      <c r="F92" s="1045">
        <f>F70+F91</f>
        <v>1438509.8165870889</v>
      </c>
      <c r="G92" s="1045" t="e">
        <f>G69+G70+G72+G91</f>
        <v>#VALUE!</v>
      </c>
      <c r="H92" s="1045">
        <f>H69+H70+H72+H91</f>
        <v>1438509.8165870889</v>
      </c>
      <c r="I92" s="1045">
        <f>I69+I70+I72+I91</f>
        <v>703716.75440411363</v>
      </c>
      <c r="J92" s="683" t="s">
        <v>91</v>
      </c>
      <c r="K92" s="927" t="s">
        <v>1476</v>
      </c>
    </row>
    <row r="93" spans="1:13" ht="12.75" customHeight="1">
      <c r="A93" s="622" t="s">
        <v>1208</v>
      </c>
      <c r="B93" s="602"/>
      <c r="C93" s="602"/>
      <c r="D93" s="603" t="s">
        <v>1209</v>
      </c>
      <c r="E93" s="922">
        <v>1.2</v>
      </c>
      <c r="F93" s="1072">
        <v>1</v>
      </c>
      <c r="G93" s="1072" t="s">
        <v>989</v>
      </c>
      <c r="H93" s="1029">
        <v>1.1000000000000001</v>
      </c>
      <c r="I93" s="1029"/>
      <c r="J93" s="683" t="s">
        <v>91</v>
      </c>
      <c r="K93" s="927" t="s">
        <v>1455</v>
      </c>
      <c r="M93" s="927" t="s">
        <v>1464</v>
      </c>
    </row>
    <row r="94" spans="1:13" ht="12.75" customHeight="1">
      <c r="A94" s="639" t="s">
        <v>1458</v>
      </c>
      <c r="B94" s="691"/>
      <c r="C94" s="691"/>
      <c r="D94" s="692" t="s">
        <v>1459</v>
      </c>
      <c r="E94" s="939">
        <f>E93*E92</f>
        <v>1329629.9150324003</v>
      </c>
      <c r="F94" s="1033">
        <f>F93*F92</f>
        <v>1438509.8165870889</v>
      </c>
      <c r="G94" s="1034" t="e">
        <f>G93*G92</f>
        <v>#VALUE!</v>
      </c>
      <c r="H94" s="1033">
        <f>H93*H92</f>
        <v>1582360.7982457979</v>
      </c>
      <c r="I94" s="1034">
        <f>I93*I92</f>
        <v>0</v>
      </c>
      <c r="J94" s="693" t="s">
        <v>91</v>
      </c>
    </row>
    <row r="95" spans="1:13" s="625" customFormat="1" ht="12.75" customHeight="1">
      <c r="A95" s="607" t="s">
        <v>1460</v>
      </c>
      <c r="B95" s="608"/>
      <c r="C95" s="608"/>
      <c r="D95" s="609" t="s">
        <v>1461</v>
      </c>
      <c r="E95" s="684" t="s">
        <v>116</v>
      </c>
      <c r="F95" s="1070">
        <f>MAX(E94,F94,H94,E35)</f>
        <v>2000000</v>
      </c>
      <c r="G95" s="1070" t="s">
        <v>989</v>
      </c>
      <c r="H95" s="1058" t="s">
        <v>116</v>
      </c>
      <c r="I95" s="1058"/>
      <c r="J95" s="685" t="s">
        <v>91</v>
      </c>
      <c r="K95" s="592" t="s">
        <v>1475</v>
      </c>
    </row>
    <row r="96" spans="1:13" ht="12.75" customHeight="1">
      <c r="A96" s="666" t="s">
        <v>1210</v>
      </c>
      <c r="B96" s="667"/>
      <c r="C96" s="667"/>
      <c r="D96" s="667"/>
      <c r="E96" s="678" t="s">
        <v>1196</v>
      </c>
      <c r="F96" s="678" t="s">
        <v>1197</v>
      </c>
      <c r="G96" s="678"/>
      <c r="H96" s="678" t="s">
        <v>1198</v>
      </c>
      <c r="I96" s="678"/>
      <c r="J96" s="670"/>
    </row>
    <row r="97" spans="1:17" ht="12.75" customHeight="1">
      <c r="A97" s="617" t="s">
        <v>1211</v>
      </c>
      <c r="B97" s="618"/>
      <c r="C97" s="618"/>
      <c r="D97" s="619" t="s">
        <v>1212</v>
      </c>
      <c r="E97" s="940">
        <f>($E$17-$E$64)/2</f>
        <v>30</v>
      </c>
      <c r="F97" s="1032">
        <f>($E$17-$E$64)/2</f>
        <v>30</v>
      </c>
      <c r="G97" s="1032">
        <f>($E$17-$E$64)/2</f>
        <v>30</v>
      </c>
      <c r="H97" s="1032">
        <f>($E$17-$E$64)/2</f>
        <v>30</v>
      </c>
      <c r="I97" s="1032">
        <f>($E$17-$E$64)/2</f>
        <v>30</v>
      </c>
      <c r="J97" s="680" t="s">
        <v>104</v>
      </c>
      <c r="K97" s="927" t="s">
        <v>1465</v>
      </c>
    </row>
    <row r="98" spans="1:17" ht="12.75" customHeight="1">
      <c r="A98" s="622" t="s">
        <v>25</v>
      </c>
      <c r="B98" s="602"/>
      <c r="C98" s="602"/>
      <c r="D98" s="603" t="s">
        <v>1213</v>
      </c>
      <c r="E98" s="922">
        <f>($E$17-($E$63+$E$64)/2)/2</f>
        <v>39.5</v>
      </c>
      <c r="F98" s="1029" t="s">
        <v>116</v>
      </c>
      <c r="G98" s="1029" t="s">
        <v>989</v>
      </c>
      <c r="H98" s="1029">
        <f>($E$17-($E$63+$E$64)/2)/2</f>
        <v>39.5</v>
      </c>
      <c r="I98" s="1029">
        <f>($E$17-($E$63+$E$64)/2)/2</f>
        <v>39.5</v>
      </c>
      <c r="J98" s="683" t="s">
        <v>104</v>
      </c>
      <c r="K98" s="927" t="s">
        <v>1466</v>
      </c>
    </row>
    <row r="99" spans="1:17" ht="12.75" customHeight="1">
      <c r="A99" s="622" t="s">
        <v>26</v>
      </c>
      <c r="B99" s="602"/>
      <c r="C99" s="602"/>
      <c r="D99" s="603" t="s">
        <v>1214</v>
      </c>
      <c r="E99" s="922">
        <f>($E$17-($E$63+$E$66))/2</f>
        <v>44</v>
      </c>
      <c r="F99" s="1029" t="s">
        <v>116</v>
      </c>
      <c r="G99" s="1029" t="s">
        <v>989</v>
      </c>
      <c r="H99" s="1029">
        <f>($E$17-($E$63+$E$66))/2</f>
        <v>44</v>
      </c>
      <c r="I99" s="1029">
        <f>($E$17-($E$63+$E$66))/2</f>
        <v>44</v>
      </c>
      <c r="J99" s="683" t="s">
        <v>104</v>
      </c>
      <c r="K99" s="927" t="s">
        <v>1467</v>
      </c>
    </row>
    <row r="100" spans="1:17" ht="12.75" customHeight="1">
      <c r="A100" s="694" t="s">
        <v>27</v>
      </c>
      <c r="B100" s="695"/>
      <c r="C100" s="695"/>
      <c r="D100" s="696" t="s">
        <v>1215</v>
      </c>
      <c r="E100" s="941">
        <f>($E$17-$E$63)/2-$E$67</f>
        <v>30</v>
      </c>
      <c r="F100" s="1069">
        <f>($E$17-$E$63)/2-$E$67</f>
        <v>30</v>
      </c>
      <c r="G100" s="1069">
        <f>($E$17-$E$63)/2-$E$67</f>
        <v>30</v>
      </c>
      <c r="H100" s="1069">
        <f>($E$17-$E$63)/2-$E$67</f>
        <v>30</v>
      </c>
      <c r="I100" s="1069">
        <f>($E$17-$E$63)/2-$E$67</f>
        <v>30</v>
      </c>
      <c r="J100" s="697" t="s">
        <v>104</v>
      </c>
      <c r="K100" s="927"/>
    </row>
    <row r="101" spans="1:17" ht="12.75" customHeight="1">
      <c r="A101" s="617" t="s">
        <v>1470</v>
      </c>
      <c r="B101" s="618"/>
      <c r="C101" s="618"/>
      <c r="D101" s="623" t="s">
        <v>1216</v>
      </c>
      <c r="E101" s="679" t="s">
        <v>116</v>
      </c>
      <c r="F101" s="1035">
        <f>F95*F97</f>
        <v>60000000</v>
      </c>
      <c r="G101" s="1036" t="s">
        <v>989</v>
      </c>
      <c r="H101" s="1043" t="s">
        <v>116</v>
      </c>
      <c r="I101" s="1044"/>
      <c r="J101" s="680" t="s">
        <v>678</v>
      </c>
      <c r="K101" s="927" t="s">
        <v>1469</v>
      </c>
    </row>
    <row r="102" spans="1:17" ht="12.75" customHeight="1">
      <c r="A102" s="622" t="s">
        <v>1471</v>
      </c>
      <c r="B102" s="602"/>
      <c r="C102" s="602"/>
      <c r="D102" s="638" t="s">
        <v>1217</v>
      </c>
      <c r="E102" s="931">
        <f>E71*E99+E72*E98+E91*E97</f>
        <v>42944149.21225673</v>
      </c>
      <c r="F102" s="1023" t="s">
        <v>116</v>
      </c>
      <c r="G102" s="1024" t="s">
        <v>989</v>
      </c>
      <c r="H102" s="1033">
        <f>H71*H99+H72*H98+H91*H97</f>
        <v>60898656.941400968</v>
      </c>
      <c r="I102" s="1034">
        <f>I71*I99+I72*I98+I91*I97</f>
        <v>30814903.968570136</v>
      </c>
      <c r="J102" s="683" t="s">
        <v>678</v>
      </c>
      <c r="K102" s="927" t="s">
        <v>1473</v>
      </c>
    </row>
    <row r="103" spans="1:17" ht="12.75" customHeight="1">
      <c r="A103" s="607" t="s">
        <v>1472</v>
      </c>
      <c r="B103" s="608"/>
      <c r="C103" s="608"/>
      <c r="D103" s="632" t="s">
        <v>1218</v>
      </c>
      <c r="E103" s="932">
        <f>E92*E100</f>
        <v>33240747.875810008</v>
      </c>
      <c r="F103" s="1030">
        <f>F95*F100</f>
        <v>60000000</v>
      </c>
      <c r="G103" s="1031" t="e">
        <f>G92*G100</f>
        <v>#VALUE!</v>
      </c>
      <c r="H103" s="1030">
        <f>H92*H100</f>
        <v>43155294.497612663</v>
      </c>
      <c r="I103" s="1031">
        <f>I92*I100</f>
        <v>21111502.632123411</v>
      </c>
      <c r="J103" s="685" t="s">
        <v>678</v>
      </c>
      <c r="K103" s="927" t="s">
        <v>1474</v>
      </c>
    </row>
    <row r="104" spans="1:17" ht="12.75" customHeight="1">
      <c r="A104" s="666" t="s">
        <v>1219</v>
      </c>
      <c r="B104" s="667"/>
      <c r="C104" s="667"/>
      <c r="D104" s="667"/>
      <c r="E104" s="678" t="s">
        <v>1196</v>
      </c>
      <c r="F104" s="678" t="s">
        <v>1197</v>
      </c>
      <c r="G104" s="678"/>
      <c r="H104" s="678" t="s">
        <v>1198</v>
      </c>
      <c r="I104" s="678"/>
      <c r="J104" s="670"/>
    </row>
    <row r="105" spans="1:17" ht="12.75" customHeight="1">
      <c r="A105" s="617" t="s">
        <v>24</v>
      </c>
      <c r="B105" s="618"/>
      <c r="C105" s="618"/>
      <c r="D105" s="619" t="s">
        <v>69</v>
      </c>
      <c r="E105" s="936">
        <f>$E$71/(PI()*($E$63+$E$66)*$E$10)</f>
        <v>0.76639710021309715</v>
      </c>
      <c r="F105" s="1061">
        <v>0</v>
      </c>
      <c r="G105" s="1061">
        <f>$E$71/(PI()*($E$63+$E$66)*$E$10)</f>
        <v>0.76639710021309715</v>
      </c>
      <c r="H105" s="1062">
        <f>$H$71/(PI()*($E$63+$E$66)*$E$10)</f>
        <v>1.4014118403896636</v>
      </c>
      <c r="I105" s="1062">
        <f>$E$71/(PI()*($E$63+$E$66)*$E$10)</f>
        <v>0.76639710021309715</v>
      </c>
      <c r="J105" s="680" t="s">
        <v>104</v>
      </c>
      <c r="K105" s="378" t="s">
        <v>38</v>
      </c>
    </row>
    <row r="106" spans="1:17" ht="12.75" customHeight="1">
      <c r="A106" s="622" t="s">
        <v>1220</v>
      </c>
      <c r="B106" s="602"/>
      <c r="C106" s="602"/>
      <c r="D106" s="603" t="s">
        <v>1221</v>
      </c>
      <c r="E106" s="922">
        <f>IF($E$63&lt;500,1-0.001*$E$63,0.5)*$E$30</f>
        <v>11.5</v>
      </c>
      <c r="F106" s="1029">
        <f>IF($E$63&lt;500,1-0.001*$E$63,0.5)*$E$30</f>
        <v>11.5</v>
      </c>
      <c r="G106" s="1029">
        <f>IF($E$63&lt;500,1-0.001*$E$63,0.5)*$E$30</f>
        <v>11.5</v>
      </c>
      <c r="H106" s="1029">
        <f>IF($E$63&lt;500,1-0.001*$E$63,0.5)*$E$30</f>
        <v>11.5</v>
      </c>
      <c r="I106" s="1029">
        <f>IF($E$63&lt;500,1-0.001*$E$63,0.5)*$E$30</f>
        <v>11.5</v>
      </c>
      <c r="J106" s="683" t="s">
        <v>104</v>
      </c>
      <c r="K106" s="907" t="s">
        <v>28</v>
      </c>
      <c r="O106" s="592" t="s">
        <v>32</v>
      </c>
      <c r="P106" s="943">
        <f>$E$65-2*$P$108</f>
        <v>42.36</v>
      </c>
    </row>
    <row r="107" spans="1:17" ht="12.75" customHeight="1">
      <c r="A107" s="622" t="s">
        <v>34</v>
      </c>
      <c r="B107" s="602"/>
      <c r="C107" s="602"/>
      <c r="D107" s="603" t="s">
        <v>638</v>
      </c>
      <c r="E107" s="922">
        <f>$E$16-$E$63-2*$E$106</f>
        <v>125</v>
      </c>
      <c r="F107" s="944"/>
      <c r="G107" s="945">
        <f>$E$16-$E$63-2*$E$106</f>
        <v>125</v>
      </c>
      <c r="H107" s="944"/>
      <c r="I107" s="945">
        <f>$E$16-$E$63-2*$E$106</f>
        <v>125</v>
      </c>
      <c r="J107" s="683"/>
      <c r="K107" s="907"/>
      <c r="O107" s="592" t="s">
        <v>31</v>
      </c>
      <c r="P107" s="943">
        <f>$E$16-$E$63-2*$E$106</f>
        <v>125</v>
      </c>
    </row>
    <row r="108" spans="1:17" ht="12.75" customHeight="1">
      <c r="A108" s="622" t="s">
        <v>1222</v>
      </c>
      <c r="B108" s="602"/>
      <c r="C108" s="602"/>
      <c r="D108" s="603" t="s">
        <v>29</v>
      </c>
      <c r="E108" s="922">
        <f>($E$65+$E$19*($E$66+$E$67)/$E$107)/4</f>
        <v>25.82</v>
      </c>
      <c r="F108" s="1029">
        <f>($E$65+$E$19*($E$66+$E$67)/$G$107)/4</f>
        <v>25.82</v>
      </c>
      <c r="G108" s="1029">
        <f>($E$65+$E$19*($E$66+$E$67)/$P$107)/4</f>
        <v>25.82</v>
      </c>
      <c r="H108" s="1029">
        <f>($E$65+$E$19*($E$66+$E$67)/$I$107)/4</f>
        <v>25.82</v>
      </c>
      <c r="I108" s="1029">
        <f>($E$65+$E$19*($E$66+$E$67)/$P$107)/4</f>
        <v>25.82</v>
      </c>
      <c r="J108" s="683" t="s">
        <v>104</v>
      </c>
      <c r="K108" s="927" t="s">
        <v>33</v>
      </c>
      <c r="O108" s="592" t="s">
        <v>29</v>
      </c>
      <c r="P108" s="977">
        <f>($E$65+$E$19*($E$66+$E$67)/$P$107)/4</f>
        <v>25.82</v>
      </c>
    </row>
    <row r="109" spans="1:17" ht="12.75" customHeight="1">
      <c r="A109" s="622" t="s">
        <v>5</v>
      </c>
      <c r="B109" s="691"/>
      <c r="C109" s="691"/>
      <c r="D109" s="692" t="s">
        <v>2</v>
      </c>
      <c r="E109" s="946">
        <f>$E$65/2-$E$108</f>
        <v>21.18</v>
      </c>
      <c r="F109" s="944"/>
      <c r="G109" s="945">
        <f>$E$65/2-$F$108</f>
        <v>21.18</v>
      </c>
      <c r="H109" s="944"/>
      <c r="I109" s="945">
        <f>$E$65/2-$H$108</f>
        <v>21.18</v>
      </c>
      <c r="J109" s="693" t="s">
        <v>104</v>
      </c>
      <c r="K109" s="927"/>
      <c r="O109" s="592" t="s">
        <v>30</v>
      </c>
      <c r="P109" s="943">
        <f>(0.5*$P$107*$P$106^2+$E$19*$P$106*($E$66+$E$67)+$E$19^2/3*($E$66+2*$E$67))/($P$107*$P$106+$E$19*($E$66+$E$67))</f>
        <v>28.952083656080561</v>
      </c>
      <c r="Q109" s="927" t="s">
        <v>8</v>
      </c>
    </row>
    <row r="110" spans="1:17" ht="12.75" customHeight="1">
      <c r="A110" s="622" t="s">
        <v>6</v>
      </c>
      <c r="B110" s="691"/>
      <c r="C110" s="691"/>
      <c r="D110" s="692" t="s">
        <v>3</v>
      </c>
      <c r="E110" s="946">
        <f>$E$19/3*($E$66+2*$E$67)/($E$66+$E$67)</f>
        <v>22.068965517241381</v>
      </c>
      <c r="F110" s="944"/>
      <c r="G110" s="945">
        <f>$E$19/3*($E$66+2*$E$67)/($E$66+$E$67)</f>
        <v>22.068965517241381</v>
      </c>
      <c r="H110" s="944"/>
      <c r="I110" s="945">
        <f>$E$19/3*($E$21+2*$E$22)/($E$21+$E$22)</f>
        <v>21.463414634146343</v>
      </c>
      <c r="J110" s="693"/>
      <c r="K110" s="927"/>
      <c r="P110" s="943"/>
    </row>
    <row r="111" spans="1:17" ht="12.75" customHeight="1">
      <c r="A111" s="622" t="s">
        <v>1222</v>
      </c>
      <c r="B111" s="691"/>
      <c r="C111" s="691"/>
      <c r="D111" s="692" t="s">
        <v>30</v>
      </c>
      <c r="E111" s="946">
        <f>(0.5*$E$107*$E$109^2+$E$19*$E$109*($E$66+$E$67)+$E$19^2/3*($E$66+2*$E$67))/($E$107*$E$109+$E$19*($E$66+$E$67))</f>
        <v>20.539940906106374</v>
      </c>
      <c r="F111" s="944"/>
      <c r="G111" s="945">
        <f>(0.5*$E$107*$E$109^2+$E$19*$E$109*($E$66+$E$67)+$E$19^2/3*($E$66+2*$E$67))/($E$107*$E$109+$E$19*($E$66+$E$67))</f>
        <v>20.539940906106374</v>
      </c>
      <c r="H111" s="944"/>
      <c r="I111" s="945">
        <f>(0.5*$E$107*$E$109^2+$E$19*$E$109*($E$66+$E$67)+$E$19^2/3*($E$66+2*$E$67))/($E$107*$E$109+$E$19*($E$66+$E$67))</f>
        <v>20.539940906106374</v>
      </c>
      <c r="J111" s="693"/>
      <c r="K111" s="927" t="s">
        <v>7</v>
      </c>
      <c r="O111" s="592" t="s">
        <v>2</v>
      </c>
      <c r="P111" s="943">
        <f>$E$65/2-$P$108</f>
        <v>21.18</v>
      </c>
      <c r="Q111" s="927" t="s">
        <v>4</v>
      </c>
    </row>
    <row r="112" spans="1:17" ht="12.75" customHeight="1" thickBot="1">
      <c r="A112" s="607" t="s">
        <v>35</v>
      </c>
      <c r="B112" s="608"/>
      <c r="C112" s="608"/>
      <c r="D112" s="609" t="s">
        <v>1223</v>
      </c>
      <c r="E112" s="947">
        <f>$E$19+$E$65-2*$E$108</f>
        <v>82.36</v>
      </c>
      <c r="F112" s="1020">
        <f>$E$19+$E$65-2*$E$108</f>
        <v>82.36</v>
      </c>
      <c r="G112" s="1020">
        <f>$E$19+$E$65-2*$E$108</f>
        <v>82.36</v>
      </c>
      <c r="H112" s="1020">
        <f>$E$19+$E$65-2*$E$108</f>
        <v>82.36</v>
      </c>
      <c r="I112" s="1020">
        <f>$E$19+$E$65-2*$E$108</f>
        <v>82.36</v>
      </c>
      <c r="J112" s="685" t="s">
        <v>104</v>
      </c>
      <c r="O112" s="592" t="s">
        <v>3</v>
      </c>
      <c r="P112" s="943">
        <f>$E$19/3*($E$66+2*$E$67)/($E$66+$E$67)</f>
        <v>22.068965517241381</v>
      </c>
      <c r="Q112" s="927" t="s">
        <v>4</v>
      </c>
    </row>
    <row r="113" spans="1:24" ht="12.75" customHeight="1">
      <c r="A113" s="698"/>
      <c r="B113" s="699"/>
      <c r="C113" s="699"/>
      <c r="D113" s="699"/>
      <c r="E113" s="699"/>
      <c r="F113" s="699"/>
      <c r="G113" s="699"/>
      <c r="H113" s="699"/>
      <c r="I113" s="699"/>
      <c r="J113" s="700"/>
      <c r="O113" s="592" t="s">
        <v>29</v>
      </c>
      <c r="P113" s="977">
        <f>0.25*($E$65+$E$19*($E$66+$E$67)/$P$107)</f>
        <v>25.82</v>
      </c>
    </row>
    <row r="114" spans="1:24" ht="12.75" customHeight="1" thickBot="1">
      <c r="A114" s="701"/>
      <c r="B114" s="702"/>
      <c r="C114" s="702"/>
      <c r="D114" s="702"/>
      <c r="E114" s="702"/>
      <c r="F114" s="702"/>
      <c r="G114" s="702"/>
      <c r="H114" s="702"/>
      <c r="I114" s="702"/>
      <c r="J114" s="703"/>
      <c r="O114" s="592" t="s">
        <v>30</v>
      </c>
      <c r="P114" s="943">
        <f>P111*((P111+P112)*(E66+E67)*E19)/((E66+E67)*E19+2*P107*P111)</f>
        <v>164.61273183578624</v>
      </c>
    </row>
    <row r="115" spans="1:24" ht="12.75" customHeight="1">
      <c r="A115" s="646" t="s">
        <v>590</v>
      </c>
      <c r="B115" s="647" t="str">
        <f>B55</f>
        <v xml:space="preserve">Vessel Engineering Software, </v>
      </c>
      <c r="C115" s="647"/>
      <c r="D115" s="647"/>
      <c r="E115" s="647"/>
      <c r="F115" s="648" t="s">
        <v>592</v>
      </c>
      <c r="G115" s="647" t="str">
        <f>G55</f>
        <v>P3350</v>
      </c>
      <c r="H115" s="647"/>
      <c r="I115" s="647"/>
      <c r="J115" s="649"/>
      <c r="L115" s="592" t="s">
        <v>690</v>
      </c>
      <c r="O115" s="592" t="s">
        <v>523</v>
      </c>
      <c r="P115" s="942">
        <f>$E$19+$E$65-2*$P$108</f>
        <v>82.36</v>
      </c>
    </row>
    <row r="116" spans="1:24" ht="12.75" customHeight="1">
      <c r="A116" s="650" t="s">
        <v>594</v>
      </c>
      <c r="B116" s="651" t="str">
        <f>B56</f>
        <v>Zeeland Refinery</v>
      </c>
      <c r="C116" s="651"/>
      <c r="D116" s="651"/>
      <c r="E116" s="651"/>
      <c r="F116" s="652" t="s">
        <v>596</v>
      </c>
      <c r="G116" s="651" t="str">
        <f>G56</f>
        <v>293H02</v>
      </c>
      <c r="H116" s="651"/>
      <c r="I116" s="651"/>
      <c r="J116" s="653"/>
    </row>
    <row r="117" spans="1:24" ht="12.75" customHeight="1">
      <c r="A117" s="650" t="s">
        <v>598</v>
      </c>
      <c r="B117" s="651" t="str">
        <f>B57</f>
        <v>Vlissingen</v>
      </c>
      <c r="C117" s="651"/>
      <c r="D117" s="651"/>
      <c r="E117" s="651"/>
      <c r="F117" s="652" t="s">
        <v>600</v>
      </c>
      <c r="G117" s="651" t="str">
        <f>G57</f>
        <v>FLANGE pos 52</v>
      </c>
      <c r="H117" s="651"/>
      <c r="I117" s="651"/>
      <c r="J117" s="653"/>
    </row>
    <row r="118" spans="1:24" ht="12.75" customHeight="1">
      <c r="A118" s="654" t="s">
        <v>982</v>
      </c>
      <c r="B118" s="655" t="str">
        <f>B58</f>
        <v>VES [13]</v>
      </c>
      <c r="C118" s="655"/>
      <c r="D118" s="655"/>
      <c r="E118" s="655"/>
      <c r="F118" s="656" t="s">
        <v>604</v>
      </c>
      <c r="G118" s="655" t="str">
        <f>G58</f>
        <v>0</v>
      </c>
      <c r="H118" s="655"/>
      <c r="I118" s="655"/>
      <c r="J118" s="657"/>
    </row>
    <row r="119" spans="1:24" ht="12.75" customHeight="1">
      <c r="A119" s="658" t="s">
        <v>605</v>
      </c>
      <c r="B119" s="659">
        <f ca="1">B59</f>
        <v>42277.628329629631</v>
      </c>
      <c r="C119" s="660"/>
      <c r="D119" s="661" t="s">
        <v>606</v>
      </c>
      <c r="E119" s="662"/>
      <c r="F119" s="663" t="s">
        <v>985</v>
      </c>
      <c r="G119" s="664" t="s">
        <v>463</v>
      </c>
      <c r="H119" s="661"/>
      <c r="I119" s="662" t="s">
        <v>609</v>
      </c>
      <c r="J119" s="665">
        <f>J59+1</f>
        <v>2</v>
      </c>
    </row>
    <row r="120" spans="1:24" ht="12.75" customHeight="1">
      <c r="A120" s="589" t="str">
        <f>A1</f>
        <v>Calculation of</v>
      </c>
      <c r="B120" s="590"/>
      <c r="C120" s="589" t="str">
        <f>C1</f>
        <v>Flanged joint calculation</v>
      </c>
      <c r="D120" s="591"/>
      <c r="E120" s="591"/>
      <c r="F120" s="591"/>
      <c r="G120" s="590"/>
      <c r="H120" s="589" t="str">
        <f>H1</f>
        <v xml:space="preserve"> DIN V 2505</v>
      </c>
      <c r="I120" s="591"/>
      <c r="J120" s="590"/>
    </row>
    <row r="121" spans="1:24" ht="12.75" customHeight="1">
      <c r="A121" s="593" t="str">
        <f>A2</f>
        <v>pressure vessels</v>
      </c>
      <c r="B121" s="594"/>
      <c r="C121" s="593" t="str">
        <f>C2</f>
        <v>Integral flange with hub</v>
      </c>
      <c r="D121" s="595"/>
      <c r="E121" s="595"/>
      <c r="F121" s="595"/>
      <c r="G121" s="594"/>
      <c r="H121" s="593" t="str">
        <f>H2</f>
        <v xml:space="preserve"> January 1986</v>
      </c>
      <c r="I121" s="595"/>
      <c r="J121" s="594"/>
      <c r="O121" s="949" t="s">
        <v>39</v>
      </c>
      <c r="P121" s="949" t="s">
        <v>40</v>
      </c>
      <c r="U121" s="949" t="s">
        <v>39</v>
      </c>
      <c r="V121" s="949" t="s">
        <v>40</v>
      </c>
    </row>
    <row r="122" spans="1:24" ht="12.75" customHeight="1">
      <c r="A122" s="633" t="s">
        <v>1224</v>
      </c>
      <c r="B122" s="634"/>
      <c r="C122" s="634"/>
      <c r="D122" s="635" t="s">
        <v>1090</v>
      </c>
      <c r="E122" s="950">
        <f>IF($E$63&gt;1050,$O$123,$O$122)</f>
        <v>1284688.3422398204</v>
      </c>
      <c r="F122" s="1059">
        <f>IF($E$63&gt;1050,$O$123,$O$122)</f>
        <v>1284688.3422398204</v>
      </c>
      <c r="G122" s="1060">
        <f>IF($E$63&gt;1050,$O$123,$O$122)</f>
        <v>1284688.3422398204</v>
      </c>
      <c r="H122" s="1017">
        <f>IF($E$63&gt;1050,$P$123,$P$122)</f>
        <v>1561430.453696382</v>
      </c>
      <c r="I122" s="1017">
        <f>IF($E$63&gt;1050,$O$123,$O$122)</f>
        <v>1284688.3422398204</v>
      </c>
      <c r="J122" s="704" t="s">
        <v>1225</v>
      </c>
      <c r="K122" s="592" t="s">
        <v>1477</v>
      </c>
      <c r="N122" s="927" t="s">
        <v>1090</v>
      </c>
      <c r="O122" s="948">
        <f>1.2*PI()/4*($E$107*$E$65^2+0.8*($E$63+$E$67)*($E$67^2-$E$66/4)+0.1*$E$67*($E$63+$E$67)*$E$65)</f>
        <v>1734439.4376781192</v>
      </c>
      <c r="P122" s="948">
        <f>1.2*PI()/4*($E$107*$E$20^2+0.8*($E$18+$E$22)*($E$22^2-$E$21/4)+0.1*$E$22*($E$18+$E$22)*$E$20)</f>
        <v>2127252.4963583155</v>
      </c>
      <c r="Q122" s="927" t="s">
        <v>36</v>
      </c>
      <c r="R122" s="948"/>
      <c r="T122" s="927" t="s">
        <v>1227</v>
      </c>
      <c r="U122" s="948">
        <f>1.2*PI()*($E$107*2*$E$108*($E$108+$E$111)+0.15*($E$63+$E$66)*$E$66^2+0.05*$E$66*($E$63+$E$66)*$E$112)</f>
        <v>1461098.3649755814</v>
      </c>
      <c r="V122" s="948">
        <f>1.2*PI()*($E$107*2*$E$108*($E$108+$E$111)+0.15*($E$18+$E$21)*$E$21^2+0.05*$E$21*($E$18+$E$21)*$E$112)</f>
        <v>1743841.8847543995</v>
      </c>
      <c r="W122" s="927" t="s">
        <v>44</v>
      </c>
      <c r="X122" s="592" t="s">
        <v>46</v>
      </c>
    </row>
    <row r="123" spans="1:24" ht="12.75" customHeight="1">
      <c r="A123" s="622" t="s">
        <v>1226</v>
      </c>
      <c r="B123" s="602"/>
      <c r="C123" s="602"/>
      <c r="D123" s="638" t="s">
        <v>1227</v>
      </c>
      <c r="E123" s="931">
        <f>IF($E$63&gt;1050,$U$123,$U$122)</f>
        <v>2286378.5624923534</v>
      </c>
      <c r="F123" s="1018">
        <f>IF($E$63&gt;1050,$U$123,$U$122)</f>
        <v>2286378.5624923534</v>
      </c>
      <c r="G123" s="1019">
        <f>IF($E$63&gt;1050,$U$123,$U$122)</f>
        <v>2286378.5624923534</v>
      </c>
      <c r="H123" s="1018">
        <f>IF($E$63&gt;1050,$V$123,$V$122)</f>
        <v>2429927.3556128321</v>
      </c>
      <c r="I123" s="1019">
        <f>IF($E$63&gt;1050,$U$123,$U$122)</f>
        <v>2286378.5624923534</v>
      </c>
      <c r="J123" s="683" t="s">
        <v>1225</v>
      </c>
      <c r="K123" s="592" t="s">
        <v>1479</v>
      </c>
      <c r="N123" s="927" t="s">
        <v>1090</v>
      </c>
      <c r="O123" s="948">
        <f>PI()/4*($E$107*$E$65^2+($E$63+$E$67)*($E$67^2-$E$66^2/4))</f>
        <v>1284688.3422398204</v>
      </c>
      <c r="P123" s="948">
        <f>PI()/4*($E$107*$E$20^2+($E$18+$E$22)*($E$22^2-$E$21^2/4))</f>
        <v>1561430.453696382</v>
      </c>
      <c r="Q123" s="927" t="s">
        <v>37</v>
      </c>
      <c r="R123" s="948"/>
      <c r="T123" s="927" t="s">
        <v>1227</v>
      </c>
      <c r="U123" s="948">
        <f>PI()*($E$107*2*$E$108*($E$108+$E$112)+0.1875*($E$63+$E$66)*$E$66^2)</f>
        <v>2286378.5624923534</v>
      </c>
      <c r="V123" s="948">
        <f>PI()*($E$107*2*$E$108*($E$108+$E$112)+0.1875*($E$18+$E$21)*$E$21^2)</f>
        <v>2429927.3556128321</v>
      </c>
      <c r="W123" s="927" t="s">
        <v>45</v>
      </c>
      <c r="X123" s="592" t="s">
        <v>47</v>
      </c>
    </row>
    <row r="124" spans="1:24" ht="12.75" customHeight="1">
      <c r="A124" s="639" t="s">
        <v>1481</v>
      </c>
      <c r="B124" s="691"/>
      <c r="C124" s="691"/>
      <c r="D124" s="705" t="s">
        <v>1480</v>
      </c>
      <c r="E124" s="946">
        <f>(2*$E$94*$E$28)/(PI()*($E$63+2*$E$67)*$E$10)</f>
        <v>5.3740252853904336</v>
      </c>
      <c r="F124" s="951"/>
      <c r="G124" s="952">
        <f>(2*$F$95*$E$29)/(PI()*($E$63+2*$E$67)*$E$11)</f>
        <v>4.1380285203892786</v>
      </c>
      <c r="H124" s="951"/>
      <c r="I124" s="952">
        <f>(2*$H$94*$E$29)/(PI()*($E$18+2*$E$22)*$E$11)</f>
        <v>3.2739270563435281</v>
      </c>
      <c r="J124" s="693" t="s">
        <v>104</v>
      </c>
      <c r="K124" s="927" t="s">
        <v>1483</v>
      </c>
      <c r="N124" s="927"/>
      <c r="O124" s="948"/>
      <c r="P124" s="948"/>
      <c r="Q124" s="927"/>
      <c r="R124" s="948"/>
      <c r="T124" s="927"/>
      <c r="U124" s="948"/>
      <c r="V124" s="948"/>
      <c r="W124" s="927"/>
    </row>
    <row r="125" spans="1:24" ht="12.75" customHeight="1">
      <c r="A125" s="639" t="s">
        <v>1484</v>
      </c>
      <c r="B125" s="691"/>
      <c r="C125" s="691"/>
      <c r="D125" s="705" t="s">
        <v>1228</v>
      </c>
      <c r="E125" s="939">
        <f>PI()/4*($E$65^2*($E$16-2*$E$106)-$E$124^2*($E$63+2*$E$67))</f>
        <v>11671113.911767578</v>
      </c>
      <c r="F125" s="1030">
        <f>PI()/4*($E$65^2*($E$16-2*$F$106)-$G$124^2*($E$63+2*$E$67))</f>
        <v>11685888.027486587</v>
      </c>
      <c r="G125" s="1031">
        <f>PI()/4*($E$65^2*($E$16-2*$E$106)-$E$124^2*($E$63+2*$E$67))</f>
        <v>11671113.911767578</v>
      </c>
      <c r="H125" s="1030">
        <f>PI()/4*($E$20^2*($E$16-2*$H$106)-$I$124^2*($E$18+2*$E$22))</f>
        <v>11693936.387833899</v>
      </c>
      <c r="I125" s="1031">
        <f>PI()/4*($E$65^2*($E$16-2*$E$106)-$E$124^2*($E$63+2*$E$67))</f>
        <v>11671113.911767578</v>
      </c>
      <c r="J125" s="685" t="s">
        <v>1225</v>
      </c>
      <c r="K125" s="592" t="s">
        <v>1478</v>
      </c>
    </row>
    <row r="126" spans="1:24" ht="12.75" customHeight="1">
      <c r="A126" s="666" t="s">
        <v>1229</v>
      </c>
      <c r="B126" s="667"/>
      <c r="C126" s="667"/>
      <c r="D126" s="667"/>
      <c r="E126" s="678" t="s">
        <v>1196</v>
      </c>
      <c r="F126" s="678" t="s">
        <v>1197</v>
      </c>
      <c r="G126" s="678"/>
      <c r="H126" s="678" t="s">
        <v>1198</v>
      </c>
      <c r="I126" s="678"/>
      <c r="J126" s="670"/>
    </row>
    <row r="127" spans="1:24" ht="12.75" customHeight="1">
      <c r="A127" s="617" t="s">
        <v>1230</v>
      </c>
      <c r="B127" s="618"/>
      <c r="C127" s="618"/>
      <c r="D127" s="623" t="s">
        <v>1049</v>
      </c>
      <c r="E127" s="936">
        <f>$E$102/$E$122</f>
        <v>33.427678760892881</v>
      </c>
      <c r="F127" s="1053">
        <f>$F$101/$F$122</f>
        <v>46.703934352974336</v>
      </c>
      <c r="G127" s="1054">
        <f>$E$102/$E$122</f>
        <v>33.427678760892881</v>
      </c>
      <c r="H127" s="1053">
        <f>$H$102/$H$122</f>
        <v>39.001837576073449</v>
      </c>
      <c r="I127" s="1054">
        <f>$E$102/$E$122</f>
        <v>33.427678760892881</v>
      </c>
      <c r="J127" s="680" t="s">
        <v>536</v>
      </c>
    </row>
    <row r="128" spans="1:24" ht="12.75" customHeight="1">
      <c r="A128" s="622" t="s">
        <v>1231</v>
      </c>
      <c r="B128" s="602"/>
      <c r="C128" s="602"/>
      <c r="D128" s="638" t="s">
        <v>1051</v>
      </c>
      <c r="E128" s="953">
        <f>$E$102/$E$123</f>
        <v>18.782606658734515</v>
      </c>
      <c r="F128" s="1055">
        <f>$F$101/$F$123</f>
        <v>26.242373412823959</v>
      </c>
      <c r="G128" s="1056">
        <f>$E$102/$E$122</f>
        <v>33.427678760892881</v>
      </c>
      <c r="H128" s="1055">
        <f>$H$102/$H$123</f>
        <v>25.061924917521747</v>
      </c>
      <c r="I128" s="1056">
        <f>$E$102/$E$123</f>
        <v>18.782606658734515</v>
      </c>
      <c r="J128" s="682" t="s">
        <v>536</v>
      </c>
    </row>
    <row r="129" spans="1:13" ht="12.75" customHeight="1">
      <c r="A129" s="622" t="s">
        <v>1232</v>
      </c>
      <c r="B129" s="602"/>
      <c r="C129" s="602"/>
      <c r="D129" s="638" t="s">
        <v>1053</v>
      </c>
      <c r="E129" s="953">
        <f>$E$103/$E$125</f>
        <v>2.8481212784920658</v>
      </c>
      <c r="F129" s="1055">
        <f>$F$103/$F$125</f>
        <v>5.1343979900263399</v>
      </c>
      <c r="G129" s="1056">
        <f>$E$102/$E$122</f>
        <v>33.427678760892881</v>
      </c>
      <c r="H129" s="1055">
        <f>$H$103/$H$125</f>
        <v>3.6903992861215178</v>
      </c>
      <c r="I129" s="1056">
        <f>$E$103/$E$125</f>
        <v>2.8481212784920658</v>
      </c>
      <c r="J129" s="682" t="s">
        <v>536</v>
      </c>
    </row>
    <row r="130" spans="1:13" ht="12.75" customHeight="1">
      <c r="A130" s="639" t="s">
        <v>1233</v>
      </c>
      <c r="B130" s="691"/>
      <c r="C130" s="691"/>
      <c r="D130" s="705" t="s">
        <v>1234</v>
      </c>
      <c r="E130" s="955">
        <v>1</v>
      </c>
      <c r="F130" s="1049">
        <v>1</v>
      </c>
      <c r="G130" s="1050" t="s">
        <v>989</v>
      </c>
      <c r="H130" s="1049">
        <v>1</v>
      </c>
      <c r="I130" s="1050"/>
      <c r="J130" s="706" t="s">
        <v>116</v>
      </c>
      <c r="K130" s="592" t="s">
        <v>11</v>
      </c>
    </row>
    <row r="131" spans="1:13" ht="12.75" customHeight="1">
      <c r="A131" s="607" t="s">
        <v>1235</v>
      </c>
      <c r="B131" s="608"/>
      <c r="C131" s="608"/>
      <c r="D131" s="632" t="s">
        <v>1236</v>
      </c>
      <c r="E131" s="954">
        <f>$E$10/($E$12*$E$130)</f>
        <v>118.13333333333333</v>
      </c>
      <c r="F131" s="1067">
        <f>$E$11/($E$13*$F$130)</f>
        <v>227.27272727272725</v>
      </c>
      <c r="G131" s="1068">
        <f>$E$10/($E$12*$E$130)</f>
        <v>118.13333333333333</v>
      </c>
      <c r="H131" s="1067">
        <f>$E$11/($E$13*$H$130)</f>
        <v>227.27272727272725</v>
      </c>
      <c r="I131" s="1068">
        <f>$E$10/($E$12*$E$130)</f>
        <v>118.13333333333333</v>
      </c>
      <c r="J131" s="685" t="s">
        <v>536</v>
      </c>
    </row>
    <row r="132" spans="1:13" ht="12.75" customHeight="1">
      <c r="A132" s="666" t="s">
        <v>1237</v>
      </c>
      <c r="B132" s="667"/>
      <c r="C132" s="667"/>
      <c r="D132" s="667"/>
      <c r="E132" s="678" t="s">
        <v>1196</v>
      </c>
      <c r="F132" s="678" t="s">
        <v>1197</v>
      </c>
      <c r="G132" s="678"/>
      <c r="H132" s="678" t="s">
        <v>1198</v>
      </c>
      <c r="I132" s="678"/>
      <c r="J132" s="686"/>
    </row>
    <row r="133" spans="1:13" ht="12.75" customHeight="1">
      <c r="A133" s="633" t="s">
        <v>13</v>
      </c>
      <c r="B133" s="690"/>
      <c r="C133" s="690"/>
      <c r="D133" s="619" t="s">
        <v>402</v>
      </c>
      <c r="E133" s="956">
        <f>SQRT( (4*$E$94)/(PI()*$E$31*$E$26/$E$28))</f>
        <v>14.030437791252218</v>
      </c>
      <c r="F133" s="958"/>
      <c r="G133" s="959">
        <f>SQRT( (4*$F$95)/(PI()*$E$31*$E$27/$E$29))</f>
        <v>10.684217842560608</v>
      </c>
      <c r="H133" s="958"/>
      <c r="I133" s="959">
        <f>SQRT( (4*$H$94)/(PI()*$E$31*$E$27/$E$29))</f>
        <v>9.5034324925529479</v>
      </c>
      <c r="J133" s="680"/>
      <c r="K133" s="927" t="s">
        <v>14</v>
      </c>
    </row>
    <row r="134" spans="1:13" ht="12.75" customHeight="1">
      <c r="A134" s="622" t="s">
        <v>16</v>
      </c>
      <c r="B134" s="602"/>
      <c r="C134" s="602"/>
      <c r="D134" s="638" t="s">
        <v>1238</v>
      </c>
      <c r="E134" s="922">
        <f>IF($E$133&lt;=20,3,IF($E$133&lt;50,(65-$E$133)/15,1))</f>
        <v>3</v>
      </c>
      <c r="F134" s="1049">
        <v>0</v>
      </c>
      <c r="G134" s="1050">
        <f>IF($E$133&lt;=20,3,IF($E$133&lt;50,(65-$E$133)/15,1))</f>
        <v>3</v>
      </c>
      <c r="H134" s="1049">
        <v>0</v>
      </c>
      <c r="I134" s="1050">
        <f>IF($E$133&lt;=20,3,IF($E$133&lt;50,(65-$E$133)/15,1))</f>
        <v>3</v>
      </c>
      <c r="J134" s="683" t="s">
        <v>104</v>
      </c>
    </row>
    <row r="135" spans="1:13" ht="12.75" customHeight="1">
      <c r="A135" s="633" t="s">
        <v>12</v>
      </c>
      <c r="B135" s="634"/>
      <c r="C135" s="634"/>
      <c r="D135" s="671" t="s">
        <v>402</v>
      </c>
      <c r="E135" s="957">
        <f>E133+E134</f>
        <v>17.030437791252218</v>
      </c>
      <c r="F135" s="1051">
        <f>G133+F134</f>
        <v>10.684217842560608</v>
      </c>
      <c r="G135" s="1052">
        <f>G133+G134</f>
        <v>13.684217842560608</v>
      </c>
      <c r="H135" s="1051">
        <f>I133+H134</f>
        <v>9.5034324925529479</v>
      </c>
      <c r="I135" s="1052">
        <f>I133+I134</f>
        <v>12.503432492552948</v>
      </c>
      <c r="J135" s="685" t="s">
        <v>104</v>
      </c>
      <c r="K135" s="927" t="s">
        <v>15</v>
      </c>
    </row>
    <row r="136" spans="1:13" ht="12.75" customHeight="1">
      <c r="A136" s="666" t="s">
        <v>1239</v>
      </c>
      <c r="B136" s="667"/>
      <c r="C136" s="667"/>
      <c r="D136" s="667"/>
      <c r="E136" s="678" t="s">
        <v>1196</v>
      </c>
      <c r="F136" s="678" t="s">
        <v>1197</v>
      </c>
      <c r="G136" s="678"/>
      <c r="H136" s="678" t="s">
        <v>1198</v>
      </c>
      <c r="I136" s="678"/>
      <c r="J136" s="686"/>
    </row>
    <row r="137" spans="1:13" ht="12.75" customHeight="1">
      <c r="A137" s="617" t="s">
        <v>18</v>
      </c>
      <c r="B137" s="618"/>
      <c r="C137" s="618"/>
      <c r="D137" s="623" t="s">
        <v>1240</v>
      </c>
      <c r="E137" s="940">
        <f>0.58*($E$63/$E$67)^0.29*$E$19</f>
        <v>83.332985112040291</v>
      </c>
      <c r="F137" s="1065">
        <f>0.58*($E$63/$E$67)^0.29*$E$19</f>
        <v>83.332985112040291</v>
      </c>
      <c r="G137" s="1066">
        <f>0.58*($E$63/$E$67)^0.29*$E$19</f>
        <v>83.332985112040291</v>
      </c>
      <c r="H137" s="1065">
        <f>0.58*($E$18/$E$22)^0.29*$E$19</f>
        <v>76.785916953338798</v>
      </c>
      <c r="I137" s="1066">
        <f>0.58*($E$63/$E$67)^0.29*$E$19</f>
        <v>83.332985112040291</v>
      </c>
      <c r="J137" s="680" t="s">
        <v>104</v>
      </c>
      <c r="K137" s="927" t="s">
        <v>22</v>
      </c>
    </row>
    <row r="138" spans="1:13" s="625" customFormat="1" ht="12.75" customHeight="1">
      <c r="A138" s="627" t="s">
        <v>1241</v>
      </c>
      <c r="B138" s="628"/>
      <c r="C138" s="628"/>
      <c r="D138" s="707" t="s">
        <v>199</v>
      </c>
      <c r="E138" s="960">
        <f>$O$123</f>
        <v>1284688.3422398204</v>
      </c>
      <c r="F138" s="1033">
        <f>$O$123</f>
        <v>1284688.3422398204</v>
      </c>
      <c r="G138" s="1034" t="s">
        <v>989</v>
      </c>
      <c r="H138" s="1033">
        <f>$P$123</f>
        <v>1561430.453696382</v>
      </c>
      <c r="I138" s="1034"/>
      <c r="J138" s="706" t="s">
        <v>1225</v>
      </c>
    </row>
    <row r="139" spans="1:13" s="625" customFormat="1" ht="12.75" customHeight="1">
      <c r="A139" s="607" t="s">
        <v>1242</v>
      </c>
      <c r="B139" s="608"/>
      <c r="C139" s="608"/>
      <c r="D139" s="632" t="s">
        <v>85</v>
      </c>
      <c r="E139" s="962">
        <f>(0.75*$E$102*($E$16+$E$63))/($E$14*($E$65+$E$137)*$E$138)*57.3</f>
        <v>0.14296711246591243</v>
      </c>
      <c r="F139" s="1063">
        <f>(0.75*$F$101*($E$16+$E$63))/($E$15*($E$65+$F$137)*$F$138)*57.3</f>
        <v>0.17468566272788733</v>
      </c>
      <c r="G139" s="1064">
        <f>(0.75*$E$102*($E$16+$E$63))/($E$14*($E$65+$E$137)*$E$138)*57.3</f>
        <v>0.14296711246591243</v>
      </c>
      <c r="H139" s="1063">
        <f>(0.75*$H$102*($E$16+$E$18))/($E$15*($E$20+$H$137)*$H$138)*57.3</f>
        <v>0.15091438492909021</v>
      </c>
      <c r="I139" s="1064">
        <f>(0.75*$E$102*($E$16+$E$63))/($E$14*($E$65+$E$137)*$E$138)*57.3</f>
        <v>0.14296711246591243</v>
      </c>
      <c r="J139" s="685" t="s">
        <v>1065</v>
      </c>
      <c r="K139" s="927" t="s">
        <v>23</v>
      </c>
      <c r="M139" s="927" t="s">
        <v>21</v>
      </c>
    </row>
    <row r="140" spans="1:13" s="625" customFormat="1" ht="12.75" customHeight="1">
      <c r="A140" s="708"/>
      <c r="B140" s="628"/>
      <c r="C140" s="630"/>
      <c r="D140" s="709"/>
      <c r="E140" s="710"/>
      <c r="F140" s="710"/>
      <c r="G140" s="710"/>
      <c r="H140" s="710"/>
      <c r="I140" s="710"/>
      <c r="J140" s="711"/>
    </row>
    <row r="141" spans="1:13" s="625" customFormat="1" ht="12.75" customHeight="1">
      <c r="A141" s="708"/>
      <c r="B141" s="712" t="s">
        <v>0</v>
      </c>
      <c r="C141" s="630"/>
      <c r="D141" s="713"/>
      <c r="E141" s="592"/>
      <c r="F141" s="710"/>
      <c r="G141" s="710"/>
      <c r="H141" s="710"/>
      <c r="I141" s="710"/>
      <c r="J141" s="711"/>
    </row>
    <row r="142" spans="1:13" s="625" customFormat="1" ht="12.75" customHeight="1">
      <c r="A142" s="708"/>
      <c r="B142" s="628" t="s">
        <v>42</v>
      </c>
      <c r="C142" s="592"/>
      <c r="D142" s="630"/>
      <c r="E142" s="592"/>
      <c r="F142" s="592"/>
      <c r="G142" s="710"/>
      <c r="H142" s="710"/>
      <c r="I142" s="710"/>
      <c r="J142" s="711"/>
    </row>
    <row r="143" spans="1:13" s="625" customFormat="1" ht="12.75" customHeight="1">
      <c r="A143" s="627"/>
      <c r="B143" s="628" t="s">
        <v>43</v>
      </c>
      <c r="C143" s="628"/>
      <c r="D143" s="707"/>
      <c r="E143" s="710"/>
      <c r="F143" s="710"/>
      <c r="G143" s="710"/>
      <c r="H143" s="710"/>
      <c r="I143" s="710"/>
      <c r="J143" s="711"/>
    </row>
    <row r="144" spans="1:13" s="625" customFormat="1" ht="12.75" customHeight="1">
      <c r="A144" s="627"/>
      <c r="B144" s="628"/>
      <c r="C144" s="628"/>
      <c r="D144" s="707"/>
      <c r="E144" s="710"/>
      <c r="F144" s="710"/>
      <c r="G144" s="710"/>
      <c r="H144" s="710"/>
      <c r="I144" s="710"/>
      <c r="J144" s="711"/>
    </row>
    <row r="145" spans="1:10" s="625" customFormat="1" ht="12.75" customHeight="1">
      <c r="A145" s="627"/>
      <c r="B145" s="712" t="s">
        <v>1</v>
      </c>
      <c r="C145" s="628"/>
      <c r="D145" s="707"/>
      <c r="E145" s="710"/>
      <c r="F145" s="710"/>
      <c r="G145" s="710"/>
      <c r="H145" s="710"/>
      <c r="I145" s="710"/>
      <c r="J145" s="711"/>
    </row>
    <row r="146" spans="1:10" s="625" customFormat="1" ht="12.75" customHeight="1">
      <c r="A146" s="627"/>
      <c r="B146" s="628" t="s">
        <v>1243</v>
      </c>
      <c r="C146" s="628"/>
      <c r="D146" s="707"/>
      <c r="E146" s="710"/>
      <c r="F146" s="710"/>
      <c r="G146" s="710"/>
      <c r="H146" s="710"/>
      <c r="I146" s="710"/>
      <c r="J146" s="711"/>
    </row>
    <row r="147" spans="1:10" s="625" customFormat="1" ht="12.75" customHeight="1">
      <c r="A147" s="627"/>
      <c r="B147" s="628" t="s">
        <v>9</v>
      </c>
      <c r="C147" s="628"/>
      <c r="D147" s="707"/>
      <c r="E147" s="710"/>
      <c r="F147" s="710"/>
      <c r="G147" s="710"/>
      <c r="H147" s="710"/>
      <c r="I147" s="710"/>
      <c r="J147" s="711"/>
    </row>
    <row r="148" spans="1:10" s="625" customFormat="1" ht="12.75" customHeight="1">
      <c r="A148" s="627"/>
      <c r="B148" s="628"/>
      <c r="C148" s="628"/>
      <c r="D148" s="707"/>
      <c r="E148" s="710"/>
      <c r="F148" s="710"/>
      <c r="G148" s="710"/>
      <c r="H148" s="710"/>
      <c r="I148" s="710"/>
      <c r="J148" s="711"/>
    </row>
    <row r="149" spans="1:10" s="625" customFormat="1" ht="12.75" customHeight="1">
      <c r="A149" s="627"/>
      <c r="B149" s="628" t="s">
        <v>1485</v>
      </c>
      <c r="C149" s="628"/>
      <c r="D149" s="707"/>
      <c r="E149" s="710"/>
      <c r="F149" s="710"/>
      <c r="G149" s="710"/>
      <c r="H149" s="710"/>
      <c r="I149" s="710"/>
      <c r="J149" s="711"/>
    </row>
    <row r="150" spans="1:10" s="625" customFormat="1" ht="12.75" customHeight="1">
      <c r="A150" s="627"/>
      <c r="B150" s="628"/>
      <c r="C150" s="628"/>
      <c r="D150" s="707"/>
      <c r="E150" s="710"/>
      <c r="F150" s="710"/>
      <c r="G150" s="710"/>
      <c r="H150" s="710"/>
      <c r="I150" s="710"/>
      <c r="J150" s="711"/>
    </row>
    <row r="151" spans="1:10" s="625" customFormat="1" ht="12.75" customHeight="1">
      <c r="A151" s="627"/>
      <c r="B151" s="628" t="s">
        <v>10</v>
      </c>
      <c r="C151" s="628"/>
      <c r="D151" s="707"/>
      <c r="E151" s="710"/>
      <c r="F151" s="710"/>
      <c r="G151" s="710"/>
      <c r="H151" s="710"/>
      <c r="I151" s="710"/>
      <c r="J151" s="711"/>
    </row>
    <row r="152" spans="1:10" s="625" customFormat="1" ht="12.75" customHeight="1">
      <c r="A152" s="627"/>
      <c r="B152" s="961" t="s">
        <v>20</v>
      </c>
      <c r="C152" s="628"/>
      <c r="D152" s="707"/>
      <c r="E152" s="710"/>
      <c r="F152" s="710"/>
      <c r="G152" s="710"/>
      <c r="H152" s="710"/>
      <c r="I152" s="710"/>
      <c r="J152" s="711"/>
    </row>
    <row r="153" spans="1:10" s="625" customFormat="1" ht="12.75" customHeight="1">
      <c r="A153" s="627"/>
      <c r="B153" s="628"/>
      <c r="C153" s="628"/>
      <c r="D153" s="707"/>
      <c r="E153" s="710"/>
      <c r="F153" s="710"/>
      <c r="G153" s="710"/>
      <c r="H153" s="710"/>
      <c r="I153" s="710"/>
      <c r="J153" s="711"/>
    </row>
    <row r="154" spans="1:10" s="625" customFormat="1" ht="12.75" customHeight="1">
      <c r="A154" s="627"/>
      <c r="B154" s="628"/>
      <c r="C154" s="628"/>
      <c r="D154" s="707"/>
      <c r="E154" s="710"/>
      <c r="F154" s="710"/>
      <c r="G154" s="710"/>
      <c r="H154" s="710"/>
      <c r="I154" s="710"/>
      <c r="J154" s="711"/>
    </row>
    <row r="155" spans="1:10" s="625" customFormat="1" ht="12.75" customHeight="1">
      <c r="A155" s="627"/>
      <c r="B155" s="628"/>
      <c r="C155" s="628"/>
      <c r="D155" s="707"/>
      <c r="E155" s="710"/>
      <c r="F155" s="710"/>
      <c r="G155" s="710"/>
      <c r="H155" s="710"/>
      <c r="I155" s="710"/>
      <c r="J155" s="711"/>
    </row>
    <row r="156" spans="1:10" s="625" customFormat="1" ht="12.75" customHeight="1">
      <c r="A156" s="627"/>
      <c r="B156" s="628"/>
      <c r="C156" s="628"/>
      <c r="D156" s="707"/>
      <c r="E156" s="710"/>
      <c r="F156" s="710"/>
      <c r="G156" s="710"/>
      <c r="H156" s="710"/>
      <c r="I156" s="710"/>
      <c r="J156" s="711"/>
    </row>
    <row r="157" spans="1:10" s="625" customFormat="1" ht="12.75" customHeight="1">
      <c r="A157" s="627"/>
      <c r="B157" s="628"/>
      <c r="C157" s="628"/>
      <c r="D157" s="707"/>
      <c r="E157" s="710"/>
      <c r="F157" s="710"/>
      <c r="G157" s="710"/>
      <c r="H157" s="710"/>
      <c r="I157" s="710"/>
      <c r="J157" s="711"/>
    </row>
    <row r="158" spans="1:10" s="625" customFormat="1" ht="12.75" customHeight="1">
      <c r="A158" s="627"/>
      <c r="B158" s="628"/>
      <c r="C158" s="628"/>
      <c r="D158" s="707"/>
      <c r="E158" s="710"/>
      <c r="F158" s="710"/>
      <c r="G158" s="710"/>
      <c r="H158" s="710"/>
      <c r="I158" s="710"/>
      <c r="J158" s="711"/>
    </row>
    <row r="159" spans="1:10" s="625" customFormat="1" ht="12.75" customHeight="1">
      <c r="A159" s="627"/>
      <c r="B159" s="628"/>
      <c r="C159" s="628"/>
      <c r="D159" s="707"/>
      <c r="E159" s="710"/>
      <c r="F159" s="710"/>
      <c r="G159" s="710"/>
      <c r="H159" s="710"/>
      <c r="I159" s="710"/>
      <c r="J159" s="711"/>
    </row>
    <row r="160" spans="1:10" s="625" customFormat="1" ht="12.75" customHeight="1">
      <c r="A160" s="627"/>
      <c r="B160" s="628"/>
      <c r="C160" s="628"/>
      <c r="D160" s="707"/>
      <c r="E160" s="710"/>
      <c r="F160" s="710"/>
      <c r="G160" s="710"/>
      <c r="H160" s="710"/>
      <c r="I160" s="710"/>
      <c r="J160" s="711"/>
    </row>
    <row r="161" spans="1:10" s="625" customFormat="1" ht="12.75" customHeight="1">
      <c r="A161" s="627"/>
      <c r="B161" s="628"/>
      <c r="C161" s="628"/>
      <c r="D161" s="707"/>
      <c r="E161" s="710"/>
      <c r="F161" s="710"/>
      <c r="G161" s="710"/>
      <c r="H161" s="710"/>
      <c r="I161" s="710"/>
      <c r="J161" s="711"/>
    </row>
    <row r="162" spans="1:10" s="625" customFormat="1" ht="12.75" customHeight="1">
      <c r="A162" s="627"/>
      <c r="B162" s="628"/>
      <c r="C162" s="628"/>
      <c r="D162" s="707"/>
      <c r="E162" s="710"/>
      <c r="F162" s="710"/>
      <c r="G162" s="710"/>
      <c r="H162" s="710"/>
      <c r="I162" s="710"/>
      <c r="J162" s="711"/>
    </row>
    <row r="163" spans="1:10" s="625" customFormat="1" ht="12.75" customHeight="1">
      <c r="A163" s="627"/>
      <c r="B163" s="628"/>
      <c r="C163" s="628"/>
      <c r="D163" s="707"/>
      <c r="E163" s="710"/>
      <c r="F163" s="710"/>
      <c r="G163" s="710"/>
      <c r="H163" s="710"/>
      <c r="I163" s="710"/>
      <c r="J163" s="711"/>
    </row>
    <row r="164" spans="1:10" s="625" customFormat="1" ht="12.75" customHeight="1">
      <c r="A164" s="627"/>
      <c r="B164" s="628"/>
      <c r="C164" s="628"/>
      <c r="D164" s="707"/>
      <c r="E164" s="710"/>
      <c r="F164" s="710"/>
      <c r="G164" s="710"/>
      <c r="H164" s="710"/>
      <c r="I164" s="710"/>
      <c r="J164" s="711"/>
    </row>
    <row r="165" spans="1:10" s="625" customFormat="1" ht="12.75" customHeight="1">
      <c r="A165" s="627"/>
      <c r="B165" s="628"/>
      <c r="C165" s="628"/>
      <c r="D165" s="707"/>
      <c r="E165" s="710"/>
      <c r="F165" s="710"/>
      <c r="G165" s="710"/>
      <c r="H165" s="710"/>
      <c r="I165" s="710"/>
      <c r="J165" s="711"/>
    </row>
    <row r="166" spans="1:10" s="625" customFormat="1" ht="12.75" customHeight="1">
      <c r="A166" s="627"/>
      <c r="B166" s="628"/>
      <c r="C166" s="628"/>
      <c r="D166" s="707"/>
      <c r="E166" s="710"/>
      <c r="F166" s="710"/>
      <c r="G166" s="710"/>
      <c r="H166" s="710"/>
      <c r="I166" s="710"/>
      <c r="J166" s="711"/>
    </row>
    <row r="167" spans="1:10" s="625" customFormat="1" ht="12.75" customHeight="1">
      <c r="A167" s="627"/>
      <c r="B167" s="628"/>
      <c r="C167" s="628"/>
      <c r="D167" s="707"/>
      <c r="E167" s="710"/>
      <c r="F167" s="710"/>
      <c r="G167" s="710"/>
      <c r="H167" s="710"/>
      <c r="I167" s="710"/>
      <c r="J167" s="711"/>
    </row>
    <row r="168" spans="1:10" s="625" customFormat="1" ht="12.75" customHeight="1">
      <c r="A168" s="627"/>
      <c r="B168" s="628"/>
      <c r="C168" s="628"/>
      <c r="D168" s="707"/>
      <c r="E168" s="710"/>
      <c r="F168" s="710"/>
      <c r="G168" s="710"/>
      <c r="H168" s="710"/>
      <c r="I168" s="710"/>
      <c r="J168" s="711"/>
    </row>
    <row r="169" spans="1:10" s="625" customFormat="1" ht="12.75" customHeight="1">
      <c r="A169" s="627"/>
      <c r="B169" s="628"/>
      <c r="C169" s="628"/>
      <c r="D169" s="707"/>
      <c r="E169" s="710"/>
      <c r="F169" s="710"/>
      <c r="G169" s="710"/>
      <c r="H169" s="710"/>
      <c r="I169" s="710"/>
      <c r="J169" s="711"/>
    </row>
    <row r="170" spans="1:10" s="625" customFormat="1" ht="12.75" customHeight="1">
      <c r="A170" s="627"/>
      <c r="B170" s="628"/>
      <c r="C170" s="628"/>
      <c r="D170" s="707"/>
      <c r="E170" s="710"/>
      <c r="F170" s="710"/>
      <c r="G170" s="710"/>
      <c r="H170" s="710"/>
      <c r="I170" s="710"/>
      <c r="J170" s="711"/>
    </row>
    <row r="171" spans="1:10" s="625" customFormat="1" ht="12.75" customHeight="1">
      <c r="A171" s="627"/>
      <c r="B171" s="628"/>
      <c r="C171" s="628"/>
      <c r="D171" s="707"/>
      <c r="E171" s="710"/>
      <c r="F171" s="710"/>
      <c r="G171" s="710"/>
      <c r="H171" s="710"/>
      <c r="I171" s="710"/>
      <c r="J171" s="711"/>
    </row>
    <row r="172" spans="1:10" s="625" customFormat="1" ht="12.75" customHeight="1">
      <c r="A172" s="627"/>
      <c r="B172" s="628"/>
      <c r="C172" s="628"/>
      <c r="D172" s="707"/>
      <c r="E172" s="710"/>
      <c r="F172" s="710"/>
      <c r="G172" s="710"/>
      <c r="H172" s="710"/>
      <c r="I172" s="710"/>
      <c r="J172" s="711"/>
    </row>
    <row r="173" spans="1:10" s="625" customFormat="1" ht="12.75" customHeight="1">
      <c r="A173" s="627"/>
      <c r="B173" s="628"/>
      <c r="C173" s="628"/>
      <c r="D173" s="707"/>
      <c r="E173" s="710"/>
      <c r="F173" s="710"/>
      <c r="G173" s="710"/>
      <c r="H173" s="710"/>
      <c r="I173" s="710"/>
      <c r="J173" s="711"/>
    </row>
    <row r="174" spans="1:10" s="625" customFormat="1" ht="12.75" customHeight="1">
      <c r="A174" s="627"/>
      <c r="B174" s="628"/>
      <c r="C174" s="628"/>
      <c r="D174" s="707"/>
      <c r="E174" s="710"/>
      <c r="F174" s="710"/>
      <c r="G174" s="710"/>
      <c r="H174" s="710"/>
      <c r="I174" s="710"/>
      <c r="J174" s="711"/>
    </row>
    <row r="175" spans="1:10" ht="12.75" customHeight="1">
      <c r="A175" s="646" t="s">
        <v>590</v>
      </c>
      <c r="B175" s="647" t="str">
        <f>B55</f>
        <v xml:space="preserve">Vessel Engineering Software, </v>
      </c>
      <c r="C175" s="647"/>
      <c r="D175" s="647"/>
      <c r="E175" s="647"/>
      <c r="F175" s="648" t="s">
        <v>592</v>
      </c>
      <c r="G175" s="647" t="str">
        <f>G55</f>
        <v>P3350</v>
      </c>
      <c r="H175" s="647"/>
      <c r="I175" s="647"/>
      <c r="J175" s="649"/>
    </row>
    <row r="176" spans="1:10" ht="12.75" customHeight="1">
      <c r="A176" s="650" t="s">
        <v>594</v>
      </c>
      <c r="B176" s="651" t="str">
        <f>B56</f>
        <v>Zeeland Refinery</v>
      </c>
      <c r="C176" s="651"/>
      <c r="D176" s="651"/>
      <c r="E176" s="651"/>
      <c r="F176" s="652" t="s">
        <v>596</v>
      </c>
      <c r="G176" s="651" t="str">
        <f>G56</f>
        <v>293H02</v>
      </c>
      <c r="H176" s="651"/>
      <c r="I176" s="651"/>
      <c r="J176" s="653"/>
    </row>
    <row r="177" spans="1:10" ht="12.75" customHeight="1">
      <c r="A177" s="650" t="s">
        <v>598</v>
      </c>
      <c r="B177" s="651" t="str">
        <f>B57</f>
        <v>Vlissingen</v>
      </c>
      <c r="C177" s="651"/>
      <c r="D177" s="651"/>
      <c r="E177" s="651"/>
      <c r="F177" s="652" t="s">
        <v>600</v>
      </c>
      <c r="G177" s="651" t="str">
        <f>G57</f>
        <v>FLANGE pos 52</v>
      </c>
      <c r="H177" s="651"/>
      <c r="I177" s="651"/>
      <c r="J177" s="653"/>
    </row>
    <row r="178" spans="1:10" ht="12.75" customHeight="1">
      <c r="A178" s="654" t="s">
        <v>982</v>
      </c>
      <c r="B178" s="655" t="str">
        <f>B58</f>
        <v>VES [13]</v>
      </c>
      <c r="C178" s="655"/>
      <c r="D178" s="655"/>
      <c r="E178" s="655"/>
      <c r="F178" s="656" t="s">
        <v>604</v>
      </c>
      <c r="G178" s="655" t="str">
        <f>G58</f>
        <v>0</v>
      </c>
      <c r="H178" s="655"/>
      <c r="I178" s="655"/>
      <c r="J178" s="657"/>
    </row>
    <row r="179" spans="1:10" ht="12.75" customHeight="1">
      <c r="A179" s="658" t="s">
        <v>605</v>
      </c>
      <c r="B179" s="659">
        <f ca="1">B59</f>
        <v>42277.628329629631</v>
      </c>
      <c r="C179" s="660"/>
      <c r="D179" s="661" t="s">
        <v>606</v>
      </c>
      <c r="E179" s="662"/>
      <c r="F179" s="663" t="s">
        <v>985</v>
      </c>
      <c r="G179" s="664" t="str">
        <f>G59</f>
        <v>DIN 2505</v>
      </c>
      <c r="H179" s="661"/>
      <c r="I179" s="662" t="s">
        <v>609</v>
      </c>
      <c r="J179" s="665">
        <f>J59+2</f>
        <v>3</v>
      </c>
    </row>
  </sheetData>
  <sheetProtection password="CE28" sheet="1" objects="1" scenarios="1"/>
  <mergeCells count="92">
    <mergeCell ref="F89:G89"/>
    <mergeCell ref="H89:I89"/>
    <mergeCell ref="F95:G95"/>
    <mergeCell ref="H92:I92"/>
    <mergeCell ref="H95:I95"/>
    <mergeCell ref="F91:G91"/>
    <mergeCell ref="H91:I91"/>
    <mergeCell ref="F92:G92"/>
    <mergeCell ref="F93:G93"/>
    <mergeCell ref="H93:I93"/>
    <mergeCell ref="H103:I103"/>
    <mergeCell ref="H97:I97"/>
    <mergeCell ref="H98:I98"/>
    <mergeCell ref="H99:I99"/>
    <mergeCell ref="H100:I100"/>
    <mergeCell ref="H101:I101"/>
    <mergeCell ref="F100:G100"/>
    <mergeCell ref="F101:G101"/>
    <mergeCell ref="F94:G94"/>
    <mergeCell ref="H94:I94"/>
    <mergeCell ref="H102:I102"/>
    <mergeCell ref="F102:G102"/>
    <mergeCell ref="H139:I139"/>
    <mergeCell ref="F137:G137"/>
    <mergeCell ref="F138:G138"/>
    <mergeCell ref="F139:G139"/>
    <mergeCell ref="H88:I88"/>
    <mergeCell ref="F88:G88"/>
    <mergeCell ref="H137:I137"/>
    <mergeCell ref="H138:I138"/>
    <mergeCell ref="F134:G134"/>
    <mergeCell ref="F135:G135"/>
    <mergeCell ref="F129:G129"/>
    <mergeCell ref="F131:G131"/>
    <mergeCell ref="H127:I127"/>
    <mergeCell ref="H128:I128"/>
    <mergeCell ref="H129:I129"/>
    <mergeCell ref="H131:I131"/>
    <mergeCell ref="H134:I134"/>
    <mergeCell ref="H135:I135"/>
    <mergeCell ref="F127:G127"/>
    <mergeCell ref="F128:G128"/>
    <mergeCell ref="H83:I83"/>
    <mergeCell ref="F83:G83"/>
    <mergeCell ref="F112:G112"/>
    <mergeCell ref="F125:G125"/>
    <mergeCell ref="H125:I125"/>
    <mergeCell ref="F122:G122"/>
    <mergeCell ref="F130:G130"/>
    <mergeCell ref="H130:I130"/>
    <mergeCell ref="F105:G105"/>
    <mergeCell ref="F106:G106"/>
    <mergeCell ref="F108:G108"/>
    <mergeCell ref="H105:I105"/>
    <mergeCell ref="H82:I82"/>
    <mergeCell ref="F82:G82"/>
    <mergeCell ref="H81:I81"/>
    <mergeCell ref="F81:G81"/>
    <mergeCell ref="H78:I78"/>
    <mergeCell ref="F78:G78"/>
    <mergeCell ref="F80:G80"/>
    <mergeCell ref="H80:I80"/>
    <mergeCell ref="F77:G77"/>
    <mergeCell ref="H77:I77"/>
    <mergeCell ref="H75:I75"/>
    <mergeCell ref="F75:G75"/>
    <mergeCell ref="H73:I73"/>
    <mergeCell ref="H71:I71"/>
    <mergeCell ref="H69:I69"/>
    <mergeCell ref="H70:I70"/>
    <mergeCell ref="F73:G73"/>
    <mergeCell ref="F72:G72"/>
    <mergeCell ref="F71:G71"/>
    <mergeCell ref="F69:G69"/>
    <mergeCell ref="F70:G70"/>
    <mergeCell ref="H72:I72"/>
    <mergeCell ref="H122:I122"/>
    <mergeCell ref="F123:G123"/>
    <mergeCell ref="H123:I123"/>
    <mergeCell ref="H112:I112"/>
    <mergeCell ref="F85:G85"/>
    <mergeCell ref="H85:I85"/>
    <mergeCell ref="F87:G87"/>
    <mergeCell ref="H87:I87"/>
    <mergeCell ref="F86:G86"/>
    <mergeCell ref="H86:I86"/>
    <mergeCell ref="H106:I106"/>
    <mergeCell ref="H108:I108"/>
    <mergeCell ref="F103:G103"/>
    <mergeCell ref="F97:G97"/>
    <mergeCell ref="F98:G98"/>
    <mergeCell ref="F99:G99"/>
  </mergeCells>
  <phoneticPr fontId="7" type="noConversion"/>
  <conditionalFormatting sqref="E127:E129">
    <cfRule type="cellIs" dxfId="16" priority="1" stopIfTrue="1" operator="greaterThan">
      <formula>$E$131</formula>
    </cfRule>
  </conditionalFormatting>
  <conditionalFormatting sqref="F127:G129">
    <cfRule type="cellIs" dxfId="15" priority="2" stopIfTrue="1" operator="greaterThan">
      <formula>$F$131</formula>
    </cfRule>
  </conditionalFormatting>
  <conditionalFormatting sqref="H127:I129">
    <cfRule type="cellIs" dxfId="14" priority="3" stopIfTrue="1" operator="greaterThan">
      <formula>$H$131</formula>
    </cfRule>
  </conditionalFormatting>
  <conditionalFormatting sqref="E135:I135">
    <cfRule type="cellIs" dxfId="13" priority="4" stopIfTrue="1" operator="greaterThan">
      <formula>$E$34</formula>
    </cfRule>
  </conditionalFormatting>
  <printOptions horizontalCentered="1" verticalCentered="1"/>
  <pageMargins left="0" right="0" top="0" bottom="0" header="0" footer="0"/>
  <pageSetup paperSize="9" orientation="portrait" horizontalDpi="300" verticalDpi="300" r:id="rId1"/>
  <headerFooter alignWithMargins="0"/>
  <rowBreaks count="3" manualBreakCount="3">
    <brk id="59" max="16383" man="1"/>
    <brk id="119" max="16383" man="1"/>
    <brk id="179" max="16383" man="1"/>
  </rowBreaks>
  <colBreaks count="1" manualBreakCount="1">
    <brk id="10"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4338" r:id="rId4" name="Drop Down 2">
              <controlPr defaultSize="0" autoLine="0" autoPict="0">
                <anchor moveWithCells="1">
                  <from>
                    <xdr:col>4</xdr:col>
                    <xdr:colOff>28575</xdr:colOff>
                    <xdr:row>31</xdr:row>
                    <xdr:rowOff>9525</xdr:rowOff>
                  </from>
                  <to>
                    <xdr:col>4</xdr:col>
                    <xdr:colOff>1162050</xdr:colOff>
                    <xdr:row>32</xdr:row>
                    <xdr:rowOff>0</xdr:rowOff>
                  </to>
                </anchor>
              </controlPr>
            </control>
          </mc:Choice>
        </mc:AlternateContent>
        <mc:AlternateContent xmlns:mc="http://schemas.openxmlformats.org/markup-compatibility/2006">
          <mc:Choice Requires="x14">
            <control shapeId="14339" r:id="rId5" name="Drop Down 3">
              <controlPr defaultSize="0" autoLine="0" autoPict="0">
                <anchor moveWithCells="1">
                  <from>
                    <xdr:col>4</xdr:col>
                    <xdr:colOff>28575</xdr:colOff>
                    <xdr:row>40</xdr:row>
                    <xdr:rowOff>9525</xdr:rowOff>
                  </from>
                  <to>
                    <xdr:col>4</xdr:col>
                    <xdr:colOff>1162050</xdr:colOff>
                    <xdr:row>40</xdr:row>
                    <xdr:rowOff>209550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O53"/>
  <sheetViews>
    <sheetView zoomScaleNormal="100" workbookViewId="0">
      <selection activeCell="J46" sqref="J46"/>
    </sheetView>
  </sheetViews>
  <sheetFormatPr defaultRowHeight="12.75"/>
  <cols>
    <col min="2" max="2" width="20.28515625" customWidth="1"/>
    <col min="3" max="3" width="15.42578125" customWidth="1"/>
    <col min="4" max="4" width="9.5703125" customWidth="1"/>
    <col min="9" max="9" width="14" customWidth="1"/>
  </cols>
  <sheetData>
    <row r="2" spans="2:5" ht="18">
      <c r="B2" s="1" t="s">
        <v>55</v>
      </c>
    </row>
    <row r="3" spans="2:5" ht="18">
      <c r="B3" s="1"/>
    </row>
    <row r="4" spans="2:5" ht="15">
      <c r="B4" s="7" t="s">
        <v>72</v>
      </c>
      <c r="C4" s="6"/>
      <c r="D4" s="6"/>
      <c r="E4" s="6"/>
    </row>
    <row r="5" spans="2:5" ht="15">
      <c r="B5" s="6" t="s">
        <v>75</v>
      </c>
      <c r="C5" s="6"/>
      <c r="D5" s="6"/>
      <c r="E5" s="6"/>
    </row>
    <row r="6" spans="2:5" ht="15">
      <c r="B6" s="6"/>
      <c r="C6" s="6"/>
      <c r="D6" s="6"/>
      <c r="E6" s="6"/>
    </row>
    <row r="7" spans="2:5" ht="15">
      <c r="B7" s="7" t="s">
        <v>80</v>
      </c>
      <c r="C7" s="6"/>
      <c r="D7" s="7"/>
      <c r="E7" s="7"/>
    </row>
    <row r="8" spans="2:5" ht="15">
      <c r="B8" s="6" t="s">
        <v>76</v>
      </c>
      <c r="C8" s="6" t="s">
        <v>63</v>
      </c>
      <c r="D8" s="7"/>
      <c r="E8" s="7"/>
    </row>
    <row r="9" spans="2:5" ht="15">
      <c r="B9" s="7" t="s">
        <v>73</v>
      </c>
      <c r="C9" s="6" t="s">
        <v>74</v>
      </c>
      <c r="D9" s="7"/>
      <c r="E9" s="7"/>
    </row>
    <row r="10" spans="2:5" ht="15">
      <c r="B10" s="6"/>
      <c r="C10" s="6"/>
      <c r="D10" s="7" t="s">
        <v>58</v>
      </c>
      <c r="E10" s="7" t="s">
        <v>59</v>
      </c>
    </row>
    <row r="11" spans="2:5" ht="15">
      <c r="B11" s="6" t="s">
        <v>48</v>
      </c>
      <c r="C11" s="6" t="s">
        <v>65</v>
      </c>
      <c r="D11" s="6"/>
      <c r="E11" s="6"/>
    </row>
    <row r="12" spans="2:5" ht="15">
      <c r="B12" s="6" t="s">
        <v>53</v>
      </c>
      <c r="C12" s="6" t="s">
        <v>66</v>
      </c>
      <c r="D12" s="6"/>
      <c r="E12" s="6"/>
    </row>
    <row r="13" spans="2:5" ht="15">
      <c r="B13" s="6" t="s">
        <v>52</v>
      </c>
      <c r="C13" s="6" t="s">
        <v>67</v>
      </c>
      <c r="D13" s="6"/>
      <c r="E13" s="6"/>
    </row>
    <row r="14" spans="2:5" ht="15">
      <c r="B14" s="6" t="s">
        <v>81</v>
      </c>
      <c r="C14" s="6" t="s">
        <v>82</v>
      </c>
      <c r="D14" s="6"/>
      <c r="E14" s="6"/>
    </row>
    <row r="15" spans="2:5" ht="15">
      <c r="B15" s="6"/>
      <c r="C15" s="6"/>
      <c r="D15" s="6"/>
      <c r="E15" s="6"/>
    </row>
    <row r="16" spans="2:5" ht="15">
      <c r="B16" s="6" t="s">
        <v>54</v>
      </c>
      <c r="C16" s="6" t="s">
        <v>64</v>
      </c>
      <c r="D16" s="6"/>
      <c r="E16" s="6"/>
    </row>
    <row r="17" spans="2:10" ht="15">
      <c r="B17" s="6" t="s">
        <v>56</v>
      </c>
      <c r="C17" s="6" t="s">
        <v>68</v>
      </c>
      <c r="D17" s="6"/>
      <c r="E17" s="6"/>
    </row>
    <row r="18" spans="2:10" ht="15">
      <c r="B18" s="6" t="s">
        <v>60</v>
      </c>
      <c r="C18" s="6" t="s">
        <v>70</v>
      </c>
      <c r="D18" s="6"/>
      <c r="E18" s="6"/>
    </row>
    <row r="19" spans="2:10" ht="15">
      <c r="B19" s="6" t="s">
        <v>57</v>
      </c>
      <c r="C19" s="6" t="s">
        <v>69</v>
      </c>
      <c r="D19" s="6"/>
      <c r="E19" s="6"/>
    </row>
    <row r="20" spans="2:10" ht="15">
      <c r="B20" s="6"/>
      <c r="C20" s="6"/>
      <c r="D20" s="6"/>
      <c r="E20" s="6"/>
    </row>
    <row r="21" spans="2:10" ht="15">
      <c r="B21" s="7" t="s">
        <v>78</v>
      </c>
      <c r="C21" s="8"/>
      <c r="D21" s="6"/>
      <c r="E21" s="6"/>
      <c r="F21" s="5"/>
      <c r="G21" s="5"/>
      <c r="H21" s="5"/>
      <c r="I21" s="5"/>
      <c r="J21" s="5"/>
    </row>
    <row r="22" spans="2:10" ht="15">
      <c r="B22" s="6" t="s">
        <v>79</v>
      </c>
      <c r="C22" s="6"/>
      <c r="D22" s="6"/>
      <c r="E22" s="6"/>
      <c r="F22" s="5"/>
      <c r="G22" s="5"/>
      <c r="H22" s="5"/>
      <c r="I22" s="5"/>
      <c r="J22" s="5"/>
    </row>
    <row r="23" spans="2:10" ht="15">
      <c r="B23" s="6" t="s">
        <v>77</v>
      </c>
      <c r="C23" s="6"/>
      <c r="D23" s="6"/>
      <c r="E23" s="6"/>
      <c r="F23" s="5"/>
      <c r="G23" s="5"/>
      <c r="H23" s="5"/>
      <c r="I23" s="5"/>
      <c r="J23" s="5"/>
    </row>
    <row r="24" spans="2:10" ht="15">
      <c r="B24" s="6" t="s">
        <v>61</v>
      </c>
      <c r="C24" s="6"/>
      <c r="D24" s="6"/>
      <c r="E24" s="6"/>
      <c r="F24" s="5"/>
      <c r="G24" s="5"/>
      <c r="H24" s="5"/>
      <c r="I24" s="5"/>
      <c r="J24" s="5"/>
    </row>
    <row r="25" spans="2:10">
      <c r="C25" s="2"/>
      <c r="D25" s="2"/>
      <c r="F25" s="5"/>
      <c r="G25" s="5"/>
      <c r="H25" s="5"/>
      <c r="I25" s="5"/>
      <c r="J25" s="5"/>
    </row>
    <row r="26" spans="2:10">
      <c r="C26" s="2"/>
      <c r="D26" s="2"/>
      <c r="F26" s="5"/>
      <c r="G26" s="5"/>
      <c r="H26" s="5"/>
      <c r="I26" s="5"/>
      <c r="J26" s="5"/>
    </row>
    <row r="27" spans="2:10">
      <c r="C27" s="2"/>
      <c r="D27" s="2"/>
      <c r="F27" s="5"/>
      <c r="G27" s="5"/>
      <c r="H27" s="5"/>
      <c r="I27" s="5"/>
      <c r="J27" s="5"/>
    </row>
    <row r="28" spans="2:10">
      <c r="C28" s="2"/>
      <c r="D28" s="2"/>
      <c r="F28" s="5"/>
      <c r="G28" s="5"/>
      <c r="H28" s="5"/>
      <c r="I28" s="5"/>
      <c r="J28" s="5"/>
    </row>
    <row r="29" spans="2:10">
      <c r="C29" s="2"/>
      <c r="D29" s="2"/>
      <c r="F29" s="5"/>
      <c r="G29" s="5"/>
      <c r="H29" s="5"/>
      <c r="I29" s="5"/>
      <c r="J29" s="5"/>
    </row>
    <row r="30" spans="2:10">
      <c r="C30" s="2"/>
      <c r="D30" s="2"/>
      <c r="F30" s="5"/>
      <c r="G30" s="5"/>
      <c r="H30" s="5"/>
      <c r="I30" s="5"/>
      <c r="J30" s="5"/>
    </row>
    <row r="31" spans="2:10">
      <c r="C31" s="2"/>
      <c r="D31" s="2"/>
      <c r="F31" s="5"/>
      <c r="G31" s="5"/>
      <c r="H31" s="5"/>
      <c r="I31" s="5"/>
      <c r="J31" s="5"/>
    </row>
    <row r="32" spans="2:10">
      <c r="C32" s="2"/>
      <c r="D32" s="2"/>
      <c r="F32" s="5"/>
      <c r="G32" s="5"/>
      <c r="H32" s="5"/>
      <c r="I32" s="5"/>
      <c r="J32" s="5"/>
    </row>
    <row r="33" spans="3:15">
      <c r="C33" s="2"/>
      <c r="D33" s="2"/>
      <c r="F33" s="5"/>
      <c r="G33" s="5"/>
      <c r="H33" s="5"/>
      <c r="I33" s="5"/>
      <c r="J33" s="5"/>
    </row>
    <row r="34" spans="3:15">
      <c r="C34" s="3"/>
      <c r="D34" s="3"/>
      <c r="E34" s="4"/>
      <c r="F34" s="5"/>
      <c r="G34" s="5"/>
      <c r="H34" s="5"/>
      <c r="I34" s="5"/>
      <c r="J34" s="5"/>
    </row>
    <row r="35" spans="3:15">
      <c r="F35" s="5"/>
      <c r="G35" s="5"/>
      <c r="H35" s="5"/>
      <c r="I35" s="5"/>
      <c r="J35" s="5"/>
    </row>
    <row r="36" spans="3:15">
      <c r="F36" s="5"/>
      <c r="G36" s="5"/>
      <c r="H36" s="5"/>
      <c r="I36" s="5"/>
      <c r="J36" s="5"/>
    </row>
    <row r="38" spans="3:15" ht="15">
      <c r="I38" s="76"/>
      <c r="J38" s="76"/>
      <c r="K38" s="76"/>
      <c r="L38" s="76"/>
      <c r="M38" s="76"/>
      <c r="N38" s="76"/>
      <c r="O38" s="76"/>
    </row>
    <row r="39" spans="3:15" ht="15">
      <c r="I39" s="76"/>
      <c r="J39" s="76" t="s">
        <v>463</v>
      </c>
      <c r="K39" s="76"/>
      <c r="L39" s="76"/>
      <c r="M39" s="76"/>
      <c r="N39" s="76"/>
      <c r="O39" s="76"/>
    </row>
    <row r="40" spans="3:15" ht="15">
      <c r="I40" s="76"/>
      <c r="J40" s="76"/>
      <c r="K40" s="76"/>
      <c r="L40" s="76"/>
      <c r="M40" s="76"/>
      <c r="N40" s="76"/>
      <c r="O40" s="76"/>
    </row>
    <row r="41" spans="3:15" ht="15">
      <c r="I41" s="76"/>
      <c r="J41" s="76"/>
      <c r="K41" s="76"/>
      <c r="L41" s="76"/>
      <c r="M41" s="76"/>
      <c r="N41" s="76"/>
      <c r="O41" s="76"/>
    </row>
    <row r="42" spans="3:15" ht="15">
      <c r="I42" s="76"/>
      <c r="J42" s="76"/>
      <c r="K42" s="76"/>
      <c r="L42" s="76"/>
      <c r="M42" s="76"/>
      <c r="N42" s="76"/>
      <c r="O42" s="76"/>
    </row>
    <row r="43" spans="3:15" ht="15">
      <c r="I43" s="76"/>
      <c r="J43" s="76" t="s">
        <v>461</v>
      </c>
      <c r="K43" s="76" t="s">
        <v>460</v>
      </c>
      <c r="L43" s="76" t="s">
        <v>462</v>
      </c>
      <c r="M43" s="76"/>
      <c r="N43" s="76"/>
      <c r="O43" s="76"/>
    </row>
    <row r="44" spans="3:15" ht="15">
      <c r="I44" s="76"/>
      <c r="J44" s="76"/>
      <c r="K44" s="76"/>
      <c r="L44" s="76"/>
      <c r="M44" s="76"/>
      <c r="N44" s="76"/>
      <c r="O44" s="76"/>
    </row>
    <row r="45" spans="3:15" ht="15">
      <c r="I45" s="76">
        <v>1</v>
      </c>
      <c r="J45" s="76">
        <f t="shared" ref="J45:J50" si="0">SQRT(K45*L45)</f>
        <v>14.142135623730951</v>
      </c>
      <c r="K45" s="76">
        <v>10</v>
      </c>
      <c r="L45" s="76">
        <v>20</v>
      </c>
      <c r="M45" s="76"/>
      <c r="N45" s="76"/>
      <c r="O45" s="76"/>
    </row>
    <row r="46" spans="3:15" ht="15">
      <c r="I46" s="76">
        <v>2</v>
      </c>
      <c r="J46" s="76">
        <f t="shared" si="0"/>
        <v>24.494897427831781</v>
      </c>
      <c r="K46" s="76">
        <v>20</v>
      </c>
      <c r="L46" s="76">
        <v>30</v>
      </c>
      <c r="M46" s="76"/>
      <c r="N46" s="76"/>
      <c r="O46" s="76"/>
    </row>
    <row r="47" spans="3:15" ht="15">
      <c r="I47" s="76">
        <v>3</v>
      </c>
      <c r="J47" s="76">
        <f t="shared" si="0"/>
        <v>34.641016151377549</v>
      </c>
      <c r="K47" s="76">
        <v>30</v>
      </c>
      <c r="L47" s="76">
        <v>40</v>
      </c>
      <c r="M47" s="76"/>
      <c r="N47" s="76"/>
      <c r="O47" s="76"/>
    </row>
    <row r="48" spans="3:15" ht="15">
      <c r="I48" s="76">
        <v>4</v>
      </c>
      <c r="J48" s="76">
        <f t="shared" si="0"/>
        <v>44.721359549995796</v>
      </c>
      <c r="K48" s="76">
        <v>40</v>
      </c>
      <c r="L48" s="76">
        <v>50</v>
      </c>
      <c r="M48" s="76"/>
      <c r="N48" s="76"/>
      <c r="O48" s="76"/>
    </row>
    <row r="49" spans="9:15" ht="15">
      <c r="I49" s="76">
        <v>5</v>
      </c>
      <c r="J49" s="76">
        <f t="shared" si="0"/>
        <v>31.622776601683793</v>
      </c>
      <c r="K49" s="76">
        <v>10</v>
      </c>
      <c r="L49" s="76">
        <v>100</v>
      </c>
      <c r="M49" s="76"/>
      <c r="N49" s="76"/>
      <c r="O49" s="76"/>
    </row>
    <row r="50" spans="9:15" ht="15">
      <c r="I50" s="76">
        <v>6</v>
      </c>
      <c r="J50" s="76">
        <f t="shared" si="0"/>
        <v>63.245553203367585</v>
      </c>
      <c r="K50" s="76">
        <v>20</v>
      </c>
      <c r="L50" s="76">
        <v>200</v>
      </c>
      <c r="M50" s="76"/>
      <c r="N50" s="76"/>
      <c r="O50" s="76"/>
    </row>
    <row r="51" spans="9:15" ht="15">
      <c r="I51" s="76"/>
      <c r="J51" s="76"/>
      <c r="K51" s="76"/>
      <c r="L51" s="76"/>
      <c r="M51" s="76"/>
      <c r="N51" s="76"/>
      <c r="O51" s="76"/>
    </row>
    <row r="52" spans="9:15" ht="15">
      <c r="I52" s="76"/>
      <c r="J52" s="76"/>
      <c r="K52" s="76"/>
      <c r="L52" s="76"/>
      <c r="M52" s="76"/>
      <c r="N52" s="76"/>
      <c r="O52" s="76"/>
    </row>
    <row r="53" spans="9:15" ht="15">
      <c r="I53" s="76"/>
      <c r="J53" s="76"/>
      <c r="K53" s="76"/>
      <c r="L53" s="76"/>
      <c r="M53" s="76"/>
      <c r="N53" s="76"/>
      <c r="O53" s="76"/>
    </row>
  </sheetData>
  <phoneticPr fontId="0" type="noConversion"/>
  <pageMargins left="0.75" right="0.75" top="1" bottom="1" header="0.5" footer="0.5"/>
  <pageSetup paperSize="9" orientation="portrait" horizontalDpi="1200" verticalDpi="1200" r:id="rId2"/>
  <headerFooter alignWithMargins="0">
    <oddHeader>&amp;L&amp;D&amp;Cflens berekening.xls&amp;RPage &amp;P</oddHeader>
  </headerFooter>
  <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73"/>
  <sheetViews>
    <sheetView workbookViewId="0">
      <selection activeCell="D34" sqref="D34"/>
    </sheetView>
  </sheetViews>
  <sheetFormatPr defaultRowHeight="12.75"/>
  <cols>
    <col min="2" max="2" width="31.28515625" customWidth="1"/>
    <col min="4" max="4" width="10.140625" bestFit="1" customWidth="1"/>
  </cols>
  <sheetData>
    <row r="1" spans="1:10" ht="18">
      <c r="B1" s="10" t="s">
        <v>488</v>
      </c>
    </row>
    <row r="2" spans="1:10">
      <c r="B2" s="30" t="s">
        <v>489</v>
      </c>
      <c r="J2" t="s">
        <v>491</v>
      </c>
    </row>
    <row r="3" spans="1:10">
      <c r="B3" s="30" t="s">
        <v>490</v>
      </c>
      <c r="J3" t="s">
        <v>492</v>
      </c>
    </row>
    <row r="4" spans="1:10">
      <c r="B4" s="77" t="s">
        <v>132</v>
      </c>
    </row>
    <row r="5" spans="1:10">
      <c r="B5" t="s">
        <v>86</v>
      </c>
      <c r="C5" t="s">
        <v>98</v>
      </c>
      <c r="D5" s="11">
        <v>1.2</v>
      </c>
      <c r="E5" t="s">
        <v>87</v>
      </c>
    </row>
    <row r="6" spans="1:10">
      <c r="B6" t="s">
        <v>152</v>
      </c>
      <c r="C6" t="s">
        <v>153</v>
      </c>
      <c r="D6" s="11">
        <v>350</v>
      </c>
      <c r="E6" t="s">
        <v>154</v>
      </c>
    </row>
    <row r="7" spans="1:10">
      <c r="B7" t="s">
        <v>99</v>
      </c>
      <c r="C7" t="s">
        <v>100</v>
      </c>
      <c r="D7" s="11">
        <v>1.6</v>
      </c>
      <c r="E7" t="s">
        <v>87</v>
      </c>
    </row>
    <row r="9" spans="1:10">
      <c r="A9" t="s">
        <v>108</v>
      </c>
      <c r="B9" t="s">
        <v>398</v>
      </c>
      <c r="C9" t="s">
        <v>403</v>
      </c>
      <c r="D9" s="11">
        <v>160</v>
      </c>
      <c r="E9" t="s">
        <v>87</v>
      </c>
    </row>
    <row r="10" spans="1:10">
      <c r="A10" t="s">
        <v>108</v>
      </c>
      <c r="B10" t="s">
        <v>399</v>
      </c>
      <c r="C10" t="s">
        <v>404</v>
      </c>
      <c r="D10" s="11">
        <v>160</v>
      </c>
      <c r="E10" t="s">
        <v>87</v>
      </c>
    </row>
    <row r="11" spans="1:10">
      <c r="B11" t="s">
        <v>452</v>
      </c>
      <c r="C11" t="s">
        <v>449</v>
      </c>
      <c r="D11" s="74">
        <v>200000</v>
      </c>
      <c r="E11" t="s">
        <v>87</v>
      </c>
    </row>
    <row r="14" spans="1:10">
      <c r="B14" t="s">
        <v>497</v>
      </c>
      <c r="C14" t="s">
        <v>495</v>
      </c>
      <c r="D14" s="11">
        <v>2556</v>
      </c>
      <c r="E14" t="s">
        <v>104</v>
      </c>
    </row>
    <row r="15" spans="1:10">
      <c r="B15" t="s">
        <v>498</v>
      </c>
      <c r="C15" t="s">
        <v>496</v>
      </c>
      <c r="D15" s="11">
        <v>326</v>
      </c>
      <c r="E15" t="s">
        <v>104</v>
      </c>
    </row>
    <row r="16" spans="1:10">
      <c r="A16" t="s">
        <v>108</v>
      </c>
      <c r="B16" t="s">
        <v>501</v>
      </c>
      <c r="C16" t="s">
        <v>499</v>
      </c>
      <c r="D16" s="11">
        <v>2530</v>
      </c>
      <c r="E16" t="s">
        <v>104</v>
      </c>
    </row>
    <row r="17" spans="1:5">
      <c r="B17" t="s">
        <v>502</v>
      </c>
      <c r="C17" t="s">
        <v>500</v>
      </c>
      <c r="D17" s="11">
        <v>300</v>
      </c>
      <c r="E17" t="s">
        <v>104</v>
      </c>
    </row>
    <row r="18" spans="1:5">
      <c r="A18" t="s">
        <v>108</v>
      </c>
      <c r="B18" t="s">
        <v>505</v>
      </c>
      <c r="C18" t="s">
        <v>503</v>
      </c>
      <c r="D18" s="11">
        <v>2637</v>
      </c>
      <c r="E18" t="s">
        <v>104</v>
      </c>
    </row>
    <row r="19" spans="1:5">
      <c r="A19" t="s">
        <v>108</v>
      </c>
      <c r="B19" t="s">
        <v>506</v>
      </c>
      <c r="C19" t="s">
        <v>504</v>
      </c>
      <c r="D19" s="11">
        <v>442</v>
      </c>
      <c r="E19" t="s">
        <v>104</v>
      </c>
    </row>
    <row r="21" spans="1:5">
      <c r="A21" t="s">
        <v>108</v>
      </c>
      <c r="B21" t="s">
        <v>220</v>
      </c>
      <c r="C21" t="s">
        <v>192</v>
      </c>
      <c r="D21" s="11">
        <v>35</v>
      </c>
      <c r="E21" t="s">
        <v>104</v>
      </c>
    </row>
    <row r="22" spans="1:5">
      <c r="A22" t="s">
        <v>108</v>
      </c>
      <c r="B22" t="s">
        <v>221</v>
      </c>
      <c r="C22" t="s">
        <v>193</v>
      </c>
      <c r="D22" s="11">
        <v>35</v>
      </c>
      <c r="E22" t="s">
        <v>104</v>
      </c>
    </row>
    <row r="24" spans="1:5">
      <c r="A24" t="s">
        <v>107</v>
      </c>
      <c r="B24" t="s">
        <v>109</v>
      </c>
      <c r="C24" t="s">
        <v>91</v>
      </c>
      <c r="D24" s="11">
        <v>21</v>
      </c>
      <c r="E24" t="s">
        <v>104</v>
      </c>
    </row>
    <row r="25" spans="1:5">
      <c r="A25" t="s">
        <v>107</v>
      </c>
      <c r="B25" t="s">
        <v>118</v>
      </c>
      <c r="C25" t="s">
        <v>84</v>
      </c>
      <c r="D25" s="14">
        <f>VLOOKUP(E27,'gasket factors'!B8:E61,3)</f>
        <v>2.25</v>
      </c>
      <c r="E25" s="12" t="s">
        <v>116</v>
      </c>
    </row>
    <row r="26" spans="1:5">
      <c r="A26" t="s">
        <v>107</v>
      </c>
      <c r="B26" t="s">
        <v>118</v>
      </c>
      <c r="C26" t="s">
        <v>85</v>
      </c>
      <c r="D26" s="22">
        <f>VLOOKUP(E27,'gasket factors'!B8:E61,4)</f>
        <v>15.2</v>
      </c>
      <c r="E26" t="s">
        <v>87</v>
      </c>
    </row>
    <row r="27" spans="1:5">
      <c r="B27" t="s">
        <v>62</v>
      </c>
      <c r="D27" s="11"/>
      <c r="E27" s="33">
        <v>7</v>
      </c>
    </row>
    <row r="28" spans="1:5">
      <c r="D28" s="11"/>
    </row>
    <row r="31" spans="1:5">
      <c r="A31" t="s">
        <v>126</v>
      </c>
      <c r="B31" t="s">
        <v>71</v>
      </c>
      <c r="C31" t="s">
        <v>125</v>
      </c>
      <c r="D31" s="11">
        <v>54</v>
      </c>
      <c r="E31" s="12" t="s">
        <v>116</v>
      </c>
    </row>
    <row r="32" spans="1:5">
      <c r="A32" t="s">
        <v>126</v>
      </c>
      <c r="B32" t="s">
        <v>127</v>
      </c>
      <c r="C32" t="s">
        <v>512</v>
      </c>
      <c r="D32" s="11">
        <v>20</v>
      </c>
      <c r="E32" t="s">
        <v>104</v>
      </c>
    </row>
    <row r="33" spans="1:7">
      <c r="B33" t="s">
        <v>178</v>
      </c>
      <c r="C33" t="s">
        <v>179</v>
      </c>
      <c r="D33" s="11">
        <v>217</v>
      </c>
      <c r="E33" t="s">
        <v>92</v>
      </c>
    </row>
    <row r="34" spans="1:7">
      <c r="A34" t="s">
        <v>126</v>
      </c>
      <c r="B34" t="s">
        <v>398</v>
      </c>
      <c r="C34" t="s">
        <v>400</v>
      </c>
      <c r="D34" s="11">
        <v>172.4</v>
      </c>
      <c r="E34" t="s">
        <v>87</v>
      </c>
    </row>
    <row r="35" spans="1:7">
      <c r="B35" t="s">
        <v>399</v>
      </c>
      <c r="C35" t="s">
        <v>412</v>
      </c>
      <c r="D35" s="11">
        <v>172.4</v>
      </c>
      <c r="E35" t="s">
        <v>87</v>
      </c>
    </row>
    <row r="36" spans="1:7">
      <c r="B36" t="s">
        <v>518</v>
      </c>
      <c r="C36" t="s">
        <v>513</v>
      </c>
      <c r="D36" s="79">
        <v>151</v>
      </c>
      <c r="E36" t="s">
        <v>104</v>
      </c>
    </row>
    <row r="38" spans="1:7">
      <c r="B38" s="78" t="s">
        <v>131</v>
      </c>
    </row>
    <row r="40" spans="1:7">
      <c r="D40" s="14"/>
      <c r="G40" s="14"/>
    </row>
    <row r="43" spans="1:7">
      <c r="B43" t="s">
        <v>164</v>
      </c>
      <c r="C43" t="s">
        <v>163</v>
      </c>
      <c r="D43" s="14">
        <f>IF(OR(E27=39,E27=40,E27=41),D24/8,D24/2)</f>
        <v>10.5</v>
      </c>
      <c r="E43" t="s">
        <v>104</v>
      </c>
    </row>
    <row r="44" spans="1:7">
      <c r="B44" t="s">
        <v>191</v>
      </c>
      <c r="C44" t="s">
        <v>166</v>
      </c>
      <c r="D44" s="14">
        <f>IF(D43&lt;=6.3,D43,2.52*SQRT(D43))</f>
        <v>8.1657332799939049</v>
      </c>
      <c r="E44" t="s">
        <v>104</v>
      </c>
      <c r="F44" s="12"/>
    </row>
    <row r="45" spans="1:7">
      <c r="B45" t="s">
        <v>508</v>
      </c>
      <c r="C45" t="s">
        <v>494</v>
      </c>
      <c r="D45" s="14">
        <f>D14-2*D44</f>
        <v>2539.6685334400122</v>
      </c>
      <c r="E45" t="s">
        <v>104</v>
      </c>
    </row>
    <row r="46" spans="1:7">
      <c r="B46" t="s">
        <v>507</v>
      </c>
      <c r="C46" t="s">
        <v>493</v>
      </c>
      <c r="D46" s="14">
        <f>D15-2*D44</f>
        <v>309.6685334400122</v>
      </c>
    </row>
    <row r="47" spans="1:7">
      <c r="B47" t="s">
        <v>187</v>
      </c>
      <c r="C47" t="s">
        <v>88</v>
      </c>
      <c r="D47" s="9">
        <f>D5*D45*D46</f>
        <v>943746.51620893821</v>
      </c>
      <c r="E47" t="s">
        <v>87</v>
      </c>
    </row>
    <row r="48" spans="1:7">
      <c r="B48" t="s">
        <v>188</v>
      </c>
      <c r="C48" t="s">
        <v>168</v>
      </c>
      <c r="D48" s="9">
        <f>2*D44*(2*D45+2*D46)*D25*D5</f>
        <v>251282.8063397783</v>
      </c>
      <c r="E48" t="s">
        <v>87</v>
      </c>
    </row>
    <row r="50" spans="2:7">
      <c r="B50" t="s">
        <v>189</v>
      </c>
      <c r="C50" t="s">
        <v>89</v>
      </c>
      <c r="D50" s="9">
        <f>D5*D16*D17</f>
        <v>910800</v>
      </c>
      <c r="E50" t="s">
        <v>91</v>
      </c>
    </row>
    <row r="51" spans="2:7">
      <c r="B51" t="s">
        <v>190</v>
      </c>
      <c r="C51" t="s">
        <v>90</v>
      </c>
      <c r="D51" s="9">
        <f>D47-D50</f>
        <v>32946.516208938207</v>
      </c>
      <c r="E51" t="s">
        <v>91</v>
      </c>
    </row>
    <row r="53" spans="2:7">
      <c r="B53" t="s">
        <v>228</v>
      </c>
      <c r="C53" t="s">
        <v>410</v>
      </c>
      <c r="D53" s="9">
        <f>D48+D47</f>
        <v>1195029.3225487166</v>
      </c>
      <c r="E53" t="s">
        <v>91</v>
      </c>
    </row>
    <row r="54" spans="2:7">
      <c r="B54" t="s">
        <v>227</v>
      </c>
      <c r="C54" t="s">
        <v>411</v>
      </c>
      <c r="D54">
        <f>2*(D45+D46)*D44*D26</f>
        <v>707314.56599345</v>
      </c>
      <c r="E54" t="s">
        <v>91</v>
      </c>
    </row>
    <row r="56" spans="2:7">
      <c r="B56" t="s">
        <v>174</v>
      </c>
      <c r="C56" t="s">
        <v>413</v>
      </c>
      <c r="D56" s="9">
        <f>MAX(D54/D35,D53/D34)</f>
        <v>6931.7246087512558</v>
      </c>
      <c r="E56" s="9"/>
      <c r="F56" t="s">
        <v>92</v>
      </c>
    </row>
    <row r="57" spans="2:7">
      <c r="B57" t="s">
        <v>176</v>
      </c>
      <c r="C57" t="s">
        <v>177</v>
      </c>
      <c r="D57" s="9">
        <f>$D$31*$D$33</f>
        <v>11718</v>
      </c>
      <c r="E57" s="9"/>
      <c r="F57" s="9" t="s">
        <v>92</v>
      </c>
      <c r="G57" s="15" t="str">
        <f>IF(D57&gt;=D56,"OK","insufficient bolt area")</f>
        <v>OK</v>
      </c>
    </row>
    <row r="58" spans="2:7">
      <c r="E58" s="9"/>
      <c r="F58" s="9"/>
      <c r="G58" s="15"/>
    </row>
    <row r="59" spans="2:7">
      <c r="B59" t="s">
        <v>209</v>
      </c>
      <c r="C59" t="s">
        <v>183</v>
      </c>
      <c r="D59">
        <f>(D18-D16-D22)/2</f>
        <v>36</v>
      </c>
      <c r="E59" t="s">
        <v>104</v>
      </c>
    </row>
    <row r="60" spans="2:7">
      <c r="B60" t="s">
        <v>208</v>
      </c>
      <c r="C60" t="s">
        <v>184</v>
      </c>
      <c r="D60" s="14">
        <f>(D18-D45)/2</f>
        <v>48.665733279993901</v>
      </c>
      <c r="E60" t="s">
        <v>104</v>
      </c>
    </row>
    <row r="61" spans="2:7">
      <c r="B61" t="s">
        <v>210</v>
      </c>
      <c r="C61" t="s">
        <v>185</v>
      </c>
      <c r="D61">
        <f>(2*D18-D16-D45)/4</f>
        <v>51.082866639996951</v>
      </c>
      <c r="E61" t="s">
        <v>104</v>
      </c>
    </row>
    <row r="62" spans="2:7">
      <c r="B62" t="s">
        <v>207</v>
      </c>
      <c r="C62" t="s">
        <v>199</v>
      </c>
      <c r="D62" s="9">
        <f>0.5*($D$56+$D$57)*D34</f>
        <v>1607606.2612743583</v>
      </c>
      <c r="E62" t="s">
        <v>517</v>
      </c>
    </row>
    <row r="63" spans="2:7">
      <c r="D63" s="9"/>
    </row>
    <row r="64" spans="2:7">
      <c r="B64" t="s">
        <v>205</v>
      </c>
      <c r="C64" t="s">
        <v>201</v>
      </c>
      <c r="D64" s="9">
        <f>D62*D60</f>
        <v>78235337.530426115</v>
      </c>
      <c r="E64" t="s">
        <v>202</v>
      </c>
    </row>
    <row r="65" spans="2:5">
      <c r="B65" t="s">
        <v>206</v>
      </c>
      <c r="C65" t="s">
        <v>200</v>
      </c>
      <c r="D65" s="9">
        <f>D50*D59+D48*D60+D51*D61</f>
        <v>46700664.524933696</v>
      </c>
      <c r="E65" t="s">
        <v>202</v>
      </c>
    </row>
    <row r="67" spans="2:5">
      <c r="B67" t="s">
        <v>509</v>
      </c>
      <c r="C67" t="s">
        <v>93</v>
      </c>
      <c r="D67" s="14">
        <f>SQRT((6*$D$65)/($D$10*(2*($D$18+$D$19)-$D$31*$D$32)))</f>
        <v>18.570808677915867</v>
      </c>
      <c r="E67" t="s">
        <v>104</v>
      </c>
    </row>
    <row r="68" spans="2:5">
      <c r="B68" t="s">
        <v>510</v>
      </c>
      <c r="C68" t="s">
        <v>93</v>
      </c>
      <c r="D68" s="14">
        <f>SQRT((6*$D$64)/($D$9*(2*($D$18+$D$19)-$D$31*$D$32)))</f>
        <v>24.03647434084052</v>
      </c>
      <c r="E68" t="s">
        <v>104</v>
      </c>
    </row>
    <row r="69" spans="2:5">
      <c r="B69" t="s">
        <v>511</v>
      </c>
      <c r="C69" t="s">
        <v>93</v>
      </c>
      <c r="D69" s="14">
        <f>(D36-2*D32)*(D25+0.5)/(6*(D11/200000)^0.25)</f>
        <v>50.875</v>
      </c>
      <c r="E69" t="s">
        <v>104</v>
      </c>
    </row>
    <row r="70" spans="2:5">
      <c r="B70" s="44" t="s">
        <v>520</v>
      </c>
      <c r="C70" s="44" t="s">
        <v>519</v>
      </c>
      <c r="D70" s="25">
        <f>MAX(D67:D69)</f>
        <v>50.875</v>
      </c>
      <c r="E70" t="s">
        <v>104</v>
      </c>
    </row>
    <row r="72" spans="2:5">
      <c r="B72" t="s">
        <v>515</v>
      </c>
      <c r="C72" t="s">
        <v>514</v>
      </c>
      <c r="D72" s="14">
        <f>SQRT((6*$D$65)/(2*($D$16+$D$17)*$D$10))</f>
        <v>17.590125922792151</v>
      </c>
      <c r="E72" t="s">
        <v>104</v>
      </c>
    </row>
    <row r="73" spans="2:5">
      <c r="B73" t="s">
        <v>516</v>
      </c>
      <c r="C73" t="s">
        <v>514</v>
      </c>
      <c r="D73" s="14">
        <f>SQRT((6*$D$64)/(2*($D$16+$D$17)*$D$9))</f>
        <v>22.767162040613787</v>
      </c>
      <c r="E73" t="s">
        <v>104</v>
      </c>
    </row>
  </sheetData>
  <phoneticPr fontId="7"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21" r:id="rId4" name="Drop Down 5">
              <controlPr defaultSize="0" autoLine="0" autoPict="0">
                <anchor moveWithCells="1">
                  <from>
                    <xdr:col>1</xdr:col>
                    <xdr:colOff>657225</xdr:colOff>
                    <xdr:row>26</xdr:row>
                    <xdr:rowOff>28575</xdr:rowOff>
                  </from>
                  <to>
                    <xdr:col>4</xdr:col>
                    <xdr:colOff>266700</xdr:colOff>
                    <xdr:row>27</xdr:row>
                    <xdr:rowOff>66675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126"/>
  <sheetViews>
    <sheetView showGridLines="0" zoomScaleNormal="100" workbookViewId="0">
      <selection activeCell="E31" sqref="E31"/>
    </sheetView>
  </sheetViews>
  <sheetFormatPr defaultRowHeight="11.25"/>
  <cols>
    <col min="1" max="1" width="9.140625" style="378" customWidth="1"/>
    <col min="2" max="2" width="14.5703125" style="378" customWidth="1"/>
    <col min="3" max="4" width="9.140625" style="378" customWidth="1"/>
    <col min="5" max="5" width="15.5703125" style="378" customWidth="1"/>
    <col min="6" max="9" width="8.140625" style="378" customWidth="1"/>
    <col min="10" max="10" width="6.42578125" style="378" customWidth="1"/>
    <col min="11" max="11" width="13.42578125" style="378" customWidth="1"/>
    <col min="12" max="16384" width="9.140625" style="378"/>
  </cols>
  <sheetData>
    <row r="1" spans="1:14" ht="12.2" customHeight="1">
      <c r="A1" s="404" t="s">
        <v>925</v>
      </c>
      <c r="B1" s="405"/>
      <c r="C1" s="405"/>
      <c r="D1" s="405"/>
      <c r="E1" s="405"/>
      <c r="F1" s="405"/>
      <c r="G1" s="405"/>
      <c r="H1" s="405"/>
      <c r="I1" s="405"/>
      <c r="J1" s="406"/>
    </row>
    <row r="2" spans="1:14" ht="12.2" customHeight="1">
      <c r="A2" s="407" t="s">
        <v>1095</v>
      </c>
      <c r="B2" s="408"/>
      <c r="C2" s="408"/>
      <c r="D2" s="408"/>
      <c r="E2" s="408"/>
      <c r="F2" s="408"/>
      <c r="G2" s="408"/>
      <c r="H2" s="408"/>
      <c r="I2" s="408"/>
      <c r="J2" s="409"/>
      <c r="L2" s="378" t="s">
        <v>1094</v>
      </c>
    </row>
    <row r="3" spans="1:14" ht="12.2" customHeight="1">
      <c r="A3" s="410" t="s">
        <v>535</v>
      </c>
      <c r="B3" s="411"/>
      <c r="C3" s="411"/>
      <c r="D3" s="412" t="s">
        <v>98</v>
      </c>
      <c r="E3" s="573">
        <v>0.35</v>
      </c>
      <c r="F3" s="413"/>
      <c r="G3" s="411" t="s">
        <v>536</v>
      </c>
      <c r="H3" s="413"/>
      <c r="I3" s="413"/>
      <c r="J3" s="414"/>
    </row>
    <row r="4" spans="1:14" ht="12.2" customHeight="1">
      <c r="A4" s="415" t="s">
        <v>537</v>
      </c>
      <c r="B4" s="416"/>
      <c r="C4" s="416"/>
      <c r="D4" s="417" t="s">
        <v>100</v>
      </c>
      <c r="E4" s="574">
        <v>0.64</v>
      </c>
      <c r="F4" s="418"/>
      <c r="G4" s="416" t="s">
        <v>536</v>
      </c>
      <c r="H4" s="418"/>
      <c r="I4" s="418"/>
      <c r="J4" s="419"/>
    </row>
    <row r="5" spans="1:14" ht="12.2" customHeight="1">
      <c r="A5" s="420" t="s">
        <v>538</v>
      </c>
      <c r="B5" s="421"/>
      <c r="C5" s="421"/>
      <c r="D5" s="422" t="s">
        <v>153</v>
      </c>
      <c r="E5" s="575">
        <v>370</v>
      </c>
      <c r="F5" s="423"/>
      <c r="G5" s="421" t="s">
        <v>154</v>
      </c>
      <c r="H5" s="423"/>
      <c r="I5" s="423"/>
      <c r="J5" s="424"/>
    </row>
    <row r="6" spans="1:14" ht="12.2" customHeight="1">
      <c r="A6" s="410" t="s">
        <v>926</v>
      </c>
      <c r="B6" s="411"/>
      <c r="C6" s="411"/>
      <c r="D6" s="412" t="s">
        <v>927</v>
      </c>
      <c r="E6" s="576">
        <v>0</v>
      </c>
      <c r="F6" s="1109">
        <v>0</v>
      </c>
      <c r="G6" s="1109"/>
      <c r="H6" s="1111">
        <v>0</v>
      </c>
      <c r="I6" s="1111"/>
      <c r="J6" s="425" t="s">
        <v>91</v>
      </c>
    </row>
    <row r="7" spans="1:14" ht="12.2" customHeight="1">
      <c r="A7" s="420" t="s">
        <v>928</v>
      </c>
      <c r="B7" s="421"/>
      <c r="C7" s="421"/>
      <c r="D7" s="422" t="s">
        <v>929</v>
      </c>
      <c r="E7" s="577">
        <v>0</v>
      </c>
      <c r="F7" s="1110">
        <v>0</v>
      </c>
      <c r="G7" s="1110"/>
      <c r="H7" s="1112">
        <v>0</v>
      </c>
      <c r="I7" s="1112"/>
      <c r="J7" s="426" t="s">
        <v>678</v>
      </c>
    </row>
    <row r="8" spans="1:14" ht="12.2" customHeight="1">
      <c r="A8" s="427" t="s">
        <v>540</v>
      </c>
      <c r="B8" s="428"/>
      <c r="C8" s="428"/>
      <c r="D8" s="429"/>
      <c r="E8" s="578" t="s">
        <v>541</v>
      </c>
      <c r="F8" s="430"/>
      <c r="G8" s="428" t="s">
        <v>116</v>
      </c>
      <c r="H8" s="430"/>
      <c r="I8" s="430"/>
      <c r="J8" s="431"/>
    </row>
    <row r="9" spans="1:14" ht="12.2" customHeight="1">
      <c r="A9" s="432" t="s">
        <v>930</v>
      </c>
      <c r="B9" s="433"/>
      <c r="C9" s="433"/>
      <c r="D9" s="434" t="s">
        <v>149</v>
      </c>
      <c r="E9" s="579">
        <v>485</v>
      </c>
      <c r="F9" s="435"/>
      <c r="G9" s="433" t="s">
        <v>536</v>
      </c>
      <c r="H9" s="435"/>
      <c r="I9" s="435"/>
      <c r="J9" s="436"/>
    </row>
    <row r="10" spans="1:14" ht="12.2" customHeight="1">
      <c r="A10" s="415" t="s">
        <v>931</v>
      </c>
      <c r="B10" s="416"/>
      <c r="C10" s="416"/>
      <c r="D10" s="437" t="s">
        <v>932</v>
      </c>
      <c r="E10" s="580">
        <v>250</v>
      </c>
      <c r="F10" s="418"/>
      <c r="G10" s="416" t="s">
        <v>536</v>
      </c>
      <c r="H10" s="418"/>
      <c r="I10" s="418"/>
      <c r="J10" s="419"/>
      <c r="K10" s="378" t="s">
        <v>1108</v>
      </c>
    </row>
    <row r="11" spans="1:14" ht="12.2" customHeight="1">
      <c r="A11" s="415" t="s">
        <v>933</v>
      </c>
      <c r="B11" s="416"/>
      <c r="C11" s="416"/>
      <c r="D11" s="437" t="s">
        <v>934</v>
      </c>
      <c r="E11" s="580">
        <v>177.2</v>
      </c>
      <c r="F11" s="418"/>
      <c r="G11" s="416" t="s">
        <v>536</v>
      </c>
      <c r="H11" s="418"/>
      <c r="I11" s="418"/>
      <c r="J11" s="419"/>
      <c r="K11" s="33" t="s">
        <v>1107</v>
      </c>
      <c r="L11" s="382" t="s">
        <v>938</v>
      </c>
      <c r="M11" s="33">
        <v>200000</v>
      </c>
      <c r="N11" s="378" t="s">
        <v>1109</v>
      </c>
    </row>
    <row r="12" spans="1:14" ht="12.2" customHeight="1">
      <c r="A12" s="415" t="s">
        <v>935</v>
      </c>
      <c r="B12" s="416"/>
      <c r="C12" s="416"/>
      <c r="D12" s="437" t="s">
        <v>936</v>
      </c>
      <c r="E12" s="580">
        <v>0</v>
      </c>
      <c r="F12" s="418"/>
      <c r="G12" s="416" t="s">
        <v>536</v>
      </c>
      <c r="H12" s="438"/>
      <c r="I12" s="418"/>
      <c r="J12" s="419"/>
    </row>
    <row r="13" spans="1:14" ht="12.2" customHeight="1">
      <c r="A13" s="415" t="s">
        <v>937</v>
      </c>
      <c r="B13" s="416"/>
      <c r="C13" s="416"/>
      <c r="D13" s="417" t="s">
        <v>938</v>
      </c>
      <c r="E13" s="581">
        <v>212000</v>
      </c>
      <c r="F13" s="418"/>
      <c r="G13" s="416" t="s">
        <v>536</v>
      </c>
      <c r="H13" s="418"/>
      <c r="I13" s="418"/>
      <c r="J13" s="419"/>
    </row>
    <row r="14" spans="1:14" ht="12.2" customHeight="1">
      <c r="A14" s="415" t="s">
        <v>547</v>
      </c>
      <c r="B14" s="416"/>
      <c r="C14" s="416"/>
      <c r="D14" s="417" t="s">
        <v>939</v>
      </c>
      <c r="E14" s="574">
        <v>1710</v>
      </c>
      <c r="F14" s="418"/>
      <c r="G14" s="416" t="s">
        <v>104</v>
      </c>
      <c r="H14" s="418"/>
      <c r="I14" s="418"/>
      <c r="J14" s="419"/>
    </row>
    <row r="15" spans="1:14" ht="12.2" customHeight="1">
      <c r="A15" s="415" t="s">
        <v>548</v>
      </c>
      <c r="B15" s="416"/>
      <c r="C15" s="416"/>
      <c r="D15" s="417" t="s">
        <v>940</v>
      </c>
      <c r="E15" s="574">
        <v>1550</v>
      </c>
      <c r="F15" s="418"/>
      <c r="G15" s="416" t="s">
        <v>104</v>
      </c>
      <c r="H15" s="418"/>
      <c r="I15" s="418"/>
      <c r="J15" s="419"/>
    </row>
    <row r="16" spans="1:14" ht="12.2" customHeight="1">
      <c r="A16" s="415" t="s">
        <v>550</v>
      </c>
      <c r="B16" s="416"/>
      <c r="C16" s="416"/>
      <c r="D16" s="417" t="s">
        <v>941</v>
      </c>
      <c r="E16" s="574">
        <v>1660</v>
      </c>
      <c r="F16" s="418"/>
      <c r="G16" s="416" t="s">
        <v>104</v>
      </c>
      <c r="H16" s="418"/>
      <c r="I16" s="418"/>
      <c r="J16" s="419"/>
    </row>
    <row r="17" spans="1:11" ht="12.2" customHeight="1">
      <c r="A17" s="415" t="s">
        <v>942</v>
      </c>
      <c r="B17" s="416"/>
      <c r="C17" s="416"/>
      <c r="D17" s="417" t="s">
        <v>102</v>
      </c>
      <c r="E17" s="582">
        <v>1600</v>
      </c>
      <c r="F17" s="418"/>
      <c r="G17" s="416" t="s">
        <v>104</v>
      </c>
      <c r="H17" s="418"/>
      <c r="I17" s="418"/>
      <c r="J17" s="419"/>
    </row>
    <row r="18" spans="1:11" ht="12.2" customHeight="1">
      <c r="A18" s="415" t="s">
        <v>943</v>
      </c>
      <c r="B18" s="416"/>
      <c r="C18" s="416"/>
      <c r="D18" s="417" t="s">
        <v>944</v>
      </c>
      <c r="E18" s="574">
        <v>94</v>
      </c>
      <c r="F18" s="418"/>
      <c r="G18" s="416" t="s">
        <v>104</v>
      </c>
      <c r="H18" s="418"/>
      <c r="I18" s="418"/>
      <c r="J18" s="419"/>
    </row>
    <row r="19" spans="1:11" ht="12.2" customHeight="1">
      <c r="A19" s="415" t="s">
        <v>553</v>
      </c>
      <c r="B19" s="416"/>
      <c r="C19" s="416"/>
      <c r="D19" s="417" t="s">
        <v>945</v>
      </c>
      <c r="E19" s="574">
        <v>6</v>
      </c>
      <c r="F19" s="418"/>
      <c r="G19" s="416" t="s">
        <v>104</v>
      </c>
      <c r="H19" s="418"/>
      <c r="I19" s="418"/>
      <c r="J19" s="419"/>
    </row>
    <row r="20" spans="1:11" ht="12.2" customHeight="1">
      <c r="A20" s="415" t="s">
        <v>946</v>
      </c>
      <c r="B20" s="416"/>
      <c r="C20" s="416"/>
      <c r="D20" s="417" t="s">
        <v>947</v>
      </c>
      <c r="E20" s="574">
        <v>16</v>
      </c>
      <c r="F20" s="418"/>
      <c r="G20" s="416" t="s">
        <v>104</v>
      </c>
      <c r="H20" s="418"/>
      <c r="I20" s="418"/>
      <c r="J20" s="419"/>
    </row>
    <row r="21" spans="1:11" ht="12.2" customHeight="1">
      <c r="A21" s="415" t="s">
        <v>948</v>
      </c>
      <c r="B21" s="416"/>
      <c r="C21" s="416"/>
      <c r="D21" s="417" t="s">
        <v>949</v>
      </c>
      <c r="E21" s="574">
        <v>25</v>
      </c>
      <c r="F21" s="418"/>
      <c r="G21" s="416" t="s">
        <v>104</v>
      </c>
      <c r="H21" s="418" t="s">
        <v>950</v>
      </c>
      <c r="I21" s="418"/>
      <c r="J21" s="419"/>
    </row>
    <row r="22" spans="1:11" ht="12.2" customHeight="1">
      <c r="A22" s="420" t="s">
        <v>560</v>
      </c>
      <c r="B22" s="421"/>
      <c r="C22" s="421"/>
      <c r="D22" s="422" t="s">
        <v>218</v>
      </c>
      <c r="E22" s="575">
        <v>40</v>
      </c>
      <c r="F22" s="423"/>
      <c r="G22" s="421" t="s">
        <v>104</v>
      </c>
      <c r="H22" s="423"/>
      <c r="I22" s="423"/>
      <c r="J22" s="424"/>
    </row>
    <row r="23" spans="1:11" ht="12.75" customHeight="1">
      <c r="A23" s="427" t="s">
        <v>951</v>
      </c>
      <c r="B23" s="428"/>
      <c r="C23" s="428"/>
      <c r="D23" s="429"/>
      <c r="E23" s="583" t="s">
        <v>563</v>
      </c>
      <c r="F23" s="430"/>
      <c r="G23" s="428" t="s">
        <v>116</v>
      </c>
      <c r="H23" s="430"/>
      <c r="I23" s="430"/>
      <c r="J23" s="431"/>
    </row>
    <row r="24" spans="1:11" ht="12.2" customHeight="1">
      <c r="A24" s="432" t="s">
        <v>930</v>
      </c>
      <c r="B24" s="433"/>
      <c r="C24" s="433"/>
      <c r="D24" s="434" t="s">
        <v>149</v>
      </c>
      <c r="E24" s="579">
        <v>860</v>
      </c>
      <c r="F24" s="435"/>
      <c r="G24" s="433" t="s">
        <v>536</v>
      </c>
      <c r="H24" s="435"/>
      <c r="I24" s="435"/>
      <c r="J24" s="436"/>
    </row>
    <row r="25" spans="1:11" ht="12.2" customHeight="1">
      <c r="A25" s="415" t="s">
        <v>931</v>
      </c>
      <c r="B25" s="416"/>
      <c r="C25" s="416"/>
      <c r="D25" s="437" t="s">
        <v>932</v>
      </c>
      <c r="E25" s="580">
        <v>725</v>
      </c>
      <c r="F25" s="418"/>
      <c r="G25" s="416" t="s">
        <v>536</v>
      </c>
      <c r="H25" s="418"/>
      <c r="I25" s="418"/>
      <c r="J25" s="419"/>
    </row>
    <row r="26" spans="1:11" ht="12.2" customHeight="1">
      <c r="A26" s="415" t="s">
        <v>933</v>
      </c>
      <c r="B26" s="416"/>
      <c r="C26" s="416"/>
      <c r="D26" s="437" t="s">
        <v>934</v>
      </c>
      <c r="E26" s="580">
        <v>387</v>
      </c>
      <c r="F26" s="418"/>
      <c r="G26" s="416" t="s">
        <v>536</v>
      </c>
      <c r="H26" s="418"/>
      <c r="I26" s="418"/>
      <c r="J26" s="419"/>
    </row>
    <row r="27" spans="1:11" ht="12.2" customHeight="1">
      <c r="A27" s="415" t="s">
        <v>935</v>
      </c>
      <c r="B27" s="416"/>
      <c r="C27" s="416"/>
      <c r="D27" s="437" t="s">
        <v>936</v>
      </c>
      <c r="E27" s="580">
        <v>0</v>
      </c>
      <c r="F27" s="418"/>
      <c r="G27" s="416" t="s">
        <v>536</v>
      </c>
      <c r="H27" s="418"/>
      <c r="I27" s="418"/>
      <c r="J27" s="419"/>
    </row>
    <row r="28" spans="1:11" ht="12.2" customHeight="1">
      <c r="A28" s="415" t="s">
        <v>567</v>
      </c>
      <c r="B28" s="416"/>
      <c r="C28" s="416"/>
      <c r="D28" s="417" t="s">
        <v>125</v>
      </c>
      <c r="E28" s="584">
        <v>40</v>
      </c>
      <c r="F28" s="418"/>
      <c r="G28" s="416" t="s">
        <v>116</v>
      </c>
      <c r="H28" s="418"/>
      <c r="I28" s="418"/>
      <c r="J28" s="419"/>
    </row>
    <row r="29" spans="1:11" ht="18" customHeight="1">
      <c r="A29" s="415" t="s">
        <v>789</v>
      </c>
      <c r="B29" s="416"/>
      <c r="C29" s="416"/>
      <c r="D29" s="417"/>
      <c r="E29" s="393"/>
      <c r="F29" s="418"/>
      <c r="G29" s="416"/>
      <c r="H29" s="418"/>
      <c r="I29" s="418"/>
      <c r="J29" s="585">
        <v>3</v>
      </c>
    </row>
    <row r="30" spans="1:11" ht="12.2" customHeight="1">
      <c r="A30" s="550" t="s">
        <v>912</v>
      </c>
      <c r="B30" s="416"/>
      <c r="C30" s="416"/>
      <c r="D30" s="417" t="s">
        <v>128</v>
      </c>
      <c r="E30" s="552">
        <f>VLOOKUP($J$29,boltdimension,4)</f>
        <v>19.05</v>
      </c>
      <c r="F30" s="553"/>
      <c r="G30" s="416" t="s">
        <v>104</v>
      </c>
      <c r="H30" s="418"/>
      <c r="I30" s="418"/>
      <c r="J30" s="419"/>
    </row>
    <row r="31" spans="1:11" ht="12.2" customHeight="1">
      <c r="A31" s="415" t="s">
        <v>952</v>
      </c>
      <c r="B31" s="416"/>
      <c r="C31" s="416"/>
      <c r="D31" s="417" t="s">
        <v>465</v>
      </c>
      <c r="E31" s="582">
        <v>23</v>
      </c>
      <c r="F31" s="418"/>
      <c r="G31" s="416" t="s">
        <v>104</v>
      </c>
      <c r="H31" s="418"/>
      <c r="I31" s="418"/>
      <c r="J31" s="419"/>
      <c r="K31" s="378">
        <f>VLOOKUP($J$29,boltdimension,13)</f>
        <v>22.2</v>
      </c>
    </row>
    <row r="32" spans="1:11" ht="12.2" customHeight="1">
      <c r="A32" s="415" t="s">
        <v>953</v>
      </c>
      <c r="B32" s="416"/>
      <c r="C32" s="416"/>
      <c r="D32" s="417" t="s">
        <v>138</v>
      </c>
      <c r="E32" s="551">
        <f>VLOOKUP($J$29,boltdimension,10)</f>
        <v>194.83831999999998</v>
      </c>
      <c r="F32" s="418"/>
      <c r="G32" s="416" t="s">
        <v>571</v>
      </c>
      <c r="H32" s="418"/>
      <c r="I32" s="418"/>
      <c r="J32" s="419"/>
    </row>
    <row r="33" spans="1:16" ht="12.2" customHeight="1">
      <c r="A33" s="415" t="s">
        <v>954</v>
      </c>
      <c r="B33" s="416"/>
      <c r="C33" s="416"/>
      <c r="D33" s="417" t="s">
        <v>137</v>
      </c>
      <c r="E33" s="551">
        <f>VLOOKUP($J$29,boltdimension,10)</f>
        <v>194.83831999999998</v>
      </c>
      <c r="F33" s="418"/>
      <c r="G33" s="416" t="s">
        <v>571</v>
      </c>
      <c r="H33" s="418"/>
      <c r="I33" s="418"/>
      <c r="J33" s="419"/>
    </row>
    <row r="34" spans="1:16" ht="12.75" customHeight="1">
      <c r="A34" s="415" t="s">
        <v>955</v>
      </c>
      <c r="B34" s="416"/>
      <c r="C34" s="416"/>
      <c r="D34" s="437"/>
      <c r="E34" s="586" t="s">
        <v>956</v>
      </c>
      <c r="F34" s="418"/>
      <c r="G34" s="438" t="s">
        <v>957</v>
      </c>
      <c r="H34" s="418"/>
      <c r="I34" s="418"/>
      <c r="J34" s="419"/>
      <c r="M34" s="378" t="s">
        <v>1082</v>
      </c>
    </row>
    <row r="35" spans="1:16" ht="12.75" customHeight="1">
      <c r="A35" s="420" t="s">
        <v>958</v>
      </c>
      <c r="B35" s="421"/>
      <c r="C35" s="421"/>
      <c r="D35" s="422" t="s">
        <v>141</v>
      </c>
      <c r="E35" s="587">
        <v>2000000</v>
      </c>
      <c r="F35" s="423"/>
      <c r="G35" s="439" t="s">
        <v>959</v>
      </c>
      <c r="H35" s="423"/>
      <c r="I35" s="423"/>
      <c r="J35" s="424"/>
      <c r="L35" s="378" t="s">
        <v>1080</v>
      </c>
      <c r="M35" s="560">
        <f>E76</f>
        <v>1507964.4737231007</v>
      </c>
      <c r="N35" s="378" t="s">
        <v>91</v>
      </c>
      <c r="O35" s="378" t="s">
        <v>142</v>
      </c>
      <c r="P35" s="378" t="s">
        <v>1083</v>
      </c>
    </row>
    <row r="36" spans="1:16" ht="12.2" customHeight="1">
      <c r="A36" s="410" t="s">
        <v>960</v>
      </c>
      <c r="B36" s="411"/>
      <c r="C36" s="411"/>
      <c r="D36" s="412"/>
      <c r="E36" s="588" t="s">
        <v>961</v>
      </c>
      <c r="F36" s="413"/>
      <c r="G36" s="411"/>
      <c r="H36" s="413"/>
      <c r="I36" s="413"/>
      <c r="J36" s="414"/>
      <c r="M36" s="558">
        <f>E81</f>
        <v>2410574.9879017924</v>
      </c>
      <c r="N36" s="378" t="s">
        <v>91</v>
      </c>
      <c r="O36" s="378" t="s">
        <v>143</v>
      </c>
    </row>
    <row r="37" spans="1:16" ht="12.2" customHeight="1">
      <c r="A37" s="415" t="s">
        <v>341</v>
      </c>
      <c r="B37" s="416"/>
      <c r="C37" s="416"/>
      <c r="D37" s="417"/>
      <c r="E37" s="584" t="s">
        <v>962</v>
      </c>
      <c r="F37" s="418"/>
      <c r="G37" s="416"/>
      <c r="H37" s="418"/>
      <c r="I37" s="418"/>
      <c r="J37" s="419"/>
      <c r="M37" s="558">
        <f>MIN(E79:E80)</f>
        <v>4350739.6855999995</v>
      </c>
      <c r="N37" s="378" t="s">
        <v>91</v>
      </c>
      <c r="O37" s="378" t="s">
        <v>464</v>
      </c>
    </row>
    <row r="38" spans="1:16" ht="12.2" customHeight="1">
      <c r="A38" s="415" t="s">
        <v>963</v>
      </c>
      <c r="B38" s="416"/>
      <c r="C38" s="416"/>
      <c r="D38" s="417" t="s">
        <v>110</v>
      </c>
      <c r="E38" s="582">
        <v>20</v>
      </c>
      <c r="F38" s="418"/>
      <c r="G38" s="416" t="s">
        <v>104</v>
      </c>
      <c r="H38" s="418"/>
      <c r="I38" s="418"/>
      <c r="J38" s="419"/>
    </row>
    <row r="39" spans="1:16" ht="12.2" customHeight="1">
      <c r="A39" s="415" t="s">
        <v>964</v>
      </c>
      <c r="B39" s="416"/>
      <c r="C39" s="416"/>
      <c r="D39" s="417" t="s">
        <v>433</v>
      </c>
      <c r="E39" s="582">
        <v>3</v>
      </c>
      <c r="F39" s="418"/>
      <c r="G39" s="416" t="s">
        <v>104</v>
      </c>
      <c r="H39" s="418"/>
      <c r="I39" s="418"/>
      <c r="J39" s="419"/>
    </row>
    <row r="40" spans="1:16" ht="12.2" customHeight="1">
      <c r="A40" s="415" t="s">
        <v>965</v>
      </c>
      <c r="B40" s="416"/>
      <c r="C40" s="416"/>
      <c r="D40" s="417" t="s">
        <v>114</v>
      </c>
      <c r="E40" s="582">
        <v>1.1000000000000001</v>
      </c>
      <c r="F40" s="418"/>
      <c r="G40" s="416" t="s">
        <v>116</v>
      </c>
      <c r="H40" s="418"/>
      <c r="I40" s="418"/>
      <c r="J40" s="419"/>
    </row>
    <row r="41" spans="1:16" ht="12.2" customHeight="1">
      <c r="A41" s="415" t="s">
        <v>966</v>
      </c>
      <c r="B41" s="416"/>
      <c r="C41" s="416"/>
      <c r="D41" s="417" t="s">
        <v>967</v>
      </c>
      <c r="E41" s="582">
        <v>15</v>
      </c>
      <c r="F41" s="418"/>
      <c r="G41" s="416" t="s">
        <v>536</v>
      </c>
      <c r="H41" s="418"/>
      <c r="I41" s="418"/>
      <c r="J41" s="419"/>
    </row>
    <row r="42" spans="1:16" ht="12.2" customHeight="1">
      <c r="A42" s="415" t="s">
        <v>966</v>
      </c>
      <c r="B42" s="416"/>
      <c r="C42" s="416"/>
      <c r="D42" s="417" t="s">
        <v>968</v>
      </c>
      <c r="E42" s="582">
        <v>500</v>
      </c>
      <c r="F42" s="418"/>
      <c r="G42" s="416" t="s">
        <v>536</v>
      </c>
      <c r="H42" s="418"/>
      <c r="I42" s="418"/>
      <c r="J42" s="419"/>
    </row>
    <row r="43" spans="1:16" ht="12.2" customHeight="1">
      <c r="A43" s="420" t="s">
        <v>966</v>
      </c>
      <c r="B43" s="421"/>
      <c r="C43" s="421"/>
      <c r="D43" s="422" t="s">
        <v>969</v>
      </c>
      <c r="E43" s="587">
        <v>399</v>
      </c>
      <c r="F43" s="423"/>
      <c r="G43" s="421" t="s">
        <v>536</v>
      </c>
      <c r="H43" s="423"/>
      <c r="I43" s="423"/>
      <c r="J43" s="424"/>
    </row>
    <row r="44" spans="1:16" ht="12.2" customHeight="1">
      <c r="A44" s="427" t="s">
        <v>970</v>
      </c>
      <c r="B44" s="428"/>
      <c r="C44" s="428"/>
      <c r="D44" s="429"/>
      <c r="E44" s="583" t="s">
        <v>971</v>
      </c>
      <c r="F44" s="430"/>
      <c r="G44" s="428" t="s">
        <v>116</v>
      </c>
      <c r="H44" s="430"/>
      <c r="I44" s="430"/>
      <c r="J44" s="431"/>
    </row>
    <row r="45" spans="1:16" ht="12.2" customHeight="1">
      <c r="A45" s="432" t="s">
        <v>930</v>
      </c>
      <c r="B45" s="433"/>
      <c r="C45" s="433"/>
      <c r="D45" s="434" t="s">
        <v>149</v>
      </c>
      <c r="E45" s="579">
        <v>490</v>
      </c>
      <c r="F45" s="435"/>
      <c r="G45" s="433" t="s">
        <v>536</v>
      </c>
      <c r="H45" s="435"/>
      <c r="I45" s="435"/>
      <c r="J45" s="436"/>
    </row>
    <row r="46" spans="1:16" ht="12.2" customHeight="1">
      <c r="A46" s="415" t="s">
        <v>931</v>
      </c>
      <c r="B46" s="416"/>
      <c r="C46" s="416"/>
      <c r="D46" s="437" t="s">
        <v>932</v>
      </c>
      <c r="E46" s="580">
        <v>355</v>
      </c>
      <c r="F46" s="418"/>
      <c r="G46" s="416" t="s">
        <v>536</v>
      </c>
      <c r="H46" s="418"/>
      <c r="I46" s="418"/>
      <c r="J46" s="419"/>
    </row>
    <row r="47" spans="1:16" ht="12.2" customHeight="1">
      <c r="A47" s="415" t="s">
        <v>933</v>
      </c>
      <c r="B47" s="416"/>
      <c r="C47" s="416"/>
      <c r="D47" s="437" t="s">
        <v>934</v>
      </c>
      <c r="E47" s="580">
        <v>209.2</v>
      </c>
      <c r="F47" s="418"/>
      <c r="G47" s="416" t="s">
        <v>536</v>
      </c>
      <c r="H47" s="418"/>
      <c r="I47" s="418"/>
      <c r="J47" s="419"/>
    </row>
    <row r="48" spans="1:16" ht="12.2" customHeight="1">
      <c r="A48" s="415" t="s">
        <v>935</v>
      </c>
      <c r="B48" s="416"/>
      <c r="C48" s="416"/>
      <c r="D48" s="437" t="s">
        <v>936</v>
      </c>
      <c r="E48" s="580">
        <v>0</v>
      </c>
      <c r="F48" s="418"/>
      <c r="G48" s="416" t="s">
        <v>536</v>
      </c>
      <c r="H48" s="418"/>
      <c r="I48" s="418"/>
      <c r="J48" s="419"/>
    </row>
    <row r="49" spans="1:10" ht="12.2" customHeight="1">
      <c r="A49" s="420" t="s">
        <v>972</v>
      </c>
      <c r="B49" s="421"/>
      <c r="C49" s="421"/>
      <c r="D49" s="422" t="s">
        <v>973</v>
      </c>
      <c r="E49" s="587">
        <v>302</v>
      </c>
      <c r="F49" s="423"/>
      <c r="G49" s="421" t="s">
        <v>104</v>
      </c>
      <c r="H49" s="423"/>
      <c r="I49" s="423"/>
      <c r="J49" s="424"/>
    </row>
    <row r="50" spans="1:10" ht="12.2" customHeight="1">
      <c r="A50" s="440" t="s">
        <v>974</v>
      </c>
      <c r="B50" s="441"/>
      <c r="C50" s="441"/>
      <c r="D50" s="442"/>
      <c r="E50" s="443"/>
      <c r="F50" s="441"/>
      <c r="G50" s="441"/>
      <c r="H50" s="441"/>
      <c r="I50" s="441"/>
      <c r="J50" s="444"/>
    </row>
    <row r="51" spans="1:10" ht="12.2" customHeight="1">
      <c r="A51" s="432" t="s">
        <v>1074</v>
      </c>
      <c r="B51" s="433"/>
      <c r="C51" s="433"/>
      <c r="D51" s="445" t="s">
        <v>101</v>
      </c>
      <c r="E51" s="547">
        <f>E15+2*E19</f>
        <v>1562</v>
      </c>
      <c r="F51" s="446"/>
      <c r="G51" s="433" t="s">
        <v>104</v>
      </c>
      <c r="H51" s="433"/>
      <c r="I51" s="433"/>
      <c r="J51" s="447"/>
    </row>
    <row r="52" spans="1:10" ht="12.2" customHeight="1">
      <c r="A52" s="415" t="s">
        <v>1075</v>
      </c>
      <c r="B52" s="416"/>
      <c r="C52" s="416"/>
      <c r="D52" s="417" t="s">
        <v>975</v>
      </c>
      <c r="E52" s="548">
        <f>E20-E19</f>
        <v>10</v>
      </c>
      <c r="F52" s="448"/>
      <c r="G52" s="416" t="s">
        <v>104</v>
      </c>
      <c r="H52" s="416"/>
      <c r="I52" s="416"/>
      <c r="J52" s="449"/>
    </row>
    <row r="53" spans="1:10" ht="12.2" customHeight="1">
      <c r="A53" s="415" t="s">
        <v>1076</v>
      </c>
      <c r="B53" s="416"/>
      <c r="C53" s="416"/>
      <c r="D53" s="417" t="s">
        <v>479</v>
      </c>
      <c r="E53" s="548">
        <f>E21-E19</f>
        <v>19</v>
      </c>
      <c r="F53" s="448"/>
      <c r="G53" s="416" t="s">
        <v>104</v>
      </c>
      <c r="H53" s="416"/>
      <c r="I53" s="416"/>
      <c r="J53" s="449"/>
    </row>
    <row r="54" spans="1:10" ht="12.2" customHeight="1">
      <c r="A54" s="415" t="s">
        <v>1077</v>
      </c>
      <c r="B54" s="416"/>
      <c r="C54" s="416"/>
      <c r="D54" s="566" t="s">
        <v>976</v>
      </c>
      <c r="E54" s="568">
        <f>E18-E19</f>
        <v>88</v>
      </c>
      <c r="F54" s="448"/>
      <c r="G54" s="416" t="s">
        <v>104</v>
      </c>
      <c r="H54" s="416"/>
      <c r="I54" s="416"/>
      <c r="J54" s="449"/>
    </row>
    <row r="55" spans="1:10" ht="12.2" customHeight="1" thickBot="1">
      <c r="A55" s="420" t="s">
        <v>1092</v>
      </c>
      <c r="B55" s="421"/>
      <c r="C55" s="421"/>
      <c r="D55" s="567" t="s">
        <v>1091</v>
      </c>
      <c r="E55" s="569">
        <f>(E14-E51)/2</f>
        <v>74</v>
      </c>
      <c r="F55" s="450"/>
      <c r="G55" s="421" t="s">
        <v>104</v>
      </c>
      <c r="H55" s="421"/>
      <c r="I55" s="421"/>
      <c r="J55" s="451"/>
    </row>
    <row r="56" spans="1:10" ht="12.2" customHeight="1">
      <c r="A56" s="452" t="s">
        <v>977</v>
      </c>
      <c r="B56" s="453"/>
      <c r="C56" s="453" t="s">
        <v>1096</v>
      </c>
      <c r="D56" s="453"/>
      <c r="E56" s="453"/>
      <c r="F56" s="453" t="s">
        <v>978</v>
      </c>
      <c r="G56" s="453"/>
      <c r="H56" s="453"/>
      <c r="I56" s="453"/>
      <c r="J56" s="454"/>
    </row>
    <row r="57" spans="1:10" ht="12.2" customHeight="1">
      <c r="A57" s="455"/>
      <c r="B57" s="456"/>
      <c r="C57" s="456" t="s">
        <v>1097</v>
      </c>
      <c r="D57" s="456"/>
      <c r="E57" s="456"/>
      <c r="F57" s="456" t="s">
        <v>979</v>
      </c>
      <c r="G57" s="456"/>
      <c r="H57" s="456"/>
      <c r="I57" s="456"/>
      <c r="J57" s="457"/>
    </row>
    <row r="58" spans="1:10" ht="12.2" customHeight="1">
      <c r="A58" s="458"/>
      <c r="B58" s="459"/>
      <c r="C58" s="459" t="s">
        <v>1098</v>
      </c>
      <c r="D58" s="459"/>
      <c r="E58" s="460"/>
      <c r="F58" s="459" t="s">
        <v>980</v>
      </c>
      <c r="G58" s="459"/>
      <c r="H58" s="459"/>
      <c r="I58" s="459"/>
      <c r="J58" s="461"/>
    </row>
    <row r="59" spans="1:10" ht="12.2" customHeight="1">
      <c r="A59" s="462" t="s">
        <v>590</v>
      </c>
      <c r="B59" s="463" t="s">
        <v>981</v>
      </c>
      <c r="C59" s="463"/>
      <c r="D59" s="463"/>
      <c r="E59" s="463"/>
      <c r="F59" s="464" t="s">
        <v>592</v>
      </c>
      <c r="G59" s="463" t="s">
        <v>593</v>
      </c>
      <c r="H59" s="463"/>
      <c r="I59" s="463"/>
      <c r="J59" s="465"/>
    </row>
    <row r="60" spans="1:10" ht="12.2" customHeight="1">
      <c r="A60" s="466" t="s">
        <v>594</v>
      </c>
      <c r="B60" s="467" t="s">
        <v>595</v>
      </c>
      <c r="C60" s="467"/>
      <c r="D60" s="467"/>
      <c r="E60" s="467"/>
      <c r="F60" s="468" t="s">
        <v>596</v>
      </c>
      <c r="G60" s="467" t="s">
        <v>597</v>
      </c>
      <c r="H60" s="467"/>
      <c r="I60" s="467"/>
      <c r="J60" s="469"/>
    </row>
    <row r="61" spans="1:10" ht="12.2" customHeight="1">
      <c r="A61" s="466" t="s">
        <v>598</v>
      </c>
      <c r="B61" s="467" t="s">
        <v>599</v>
      </c>
      <c r="C61" s="467"/>
      <c r="D61" s="467"/>
      <c r="E61" s="467"/>
      <c r="F61" s="468" t="s">
        <v>600</v>
      </c>
      <c r="G61" s="467" t="s">
        <v>601</v>
      </c>
      <c r="H61" s="467"/>
      <c r="I61" s="467"/>
      <c r="J61" s="469"/>
    </row>
    <row r="62" spans="1:10" ht="12.2" customHeight="1">
      <c r="A62" s="470" t="s">
        <v>982</v>
      </c>
      <c r="B62" s="471" t="s">
        <v>983</v>
      </c>
      <c r="C62" s="471"/>
      <c r="D62" s="471"/>
      <c r="E62" s="471"/>
      <c r="F62" s="472" t="s">
        <v>604</v>
      </c>
      <c r="G62" s="471" t="s">
        <v>984</v>
      </c>
      <c r="H62" s="549">
        <v>41584</v>
      </c>
      <c r="I62" s="471"/>
      <c r="J62" s="473"/>
    </row>
    <row r="63" spans="1:10" ht="12.2" customHeight="1">
      <c r="A63" s="474" t="s">
        <v>605</v>
      </c>
      <c r="B63" s="475">
        <f ca="1">NOW()</f>
        <v>42277.628329629631</v>
      </c>
      <c r="C63" s="476"/>
      <c r="D63" s="477" t="s">
        <v>606</v>
      </c>
      <c r="E63" s="478" t="s">
        <v>116</v>
      </c>
      <c r="F63" s="479" t="s">
        <v>985</v>
      </c>
      <c r="G63" s="480" t="s">
        <v>986</v>
      </c>
      <c r="H63" s="481" t="s">
        <v>609</v>
      </c>
      <c r="I63" s="482">
        <v>1</v>
      </c>
      <c r="J63" s="483"/>
    </row>
    <row r="64" spans="1:10" ht="12.2" customHeight="1">
      <c r="A64" s="484" t="str">
        <f>A1</f>
        <v>Rules for pressure vessels D0701 75-12 [Issue 02-12]</v>
      </c>
      <c r="B64" s="485"/>
      <c r="C64" s="485"/>
      <c r="D64" s="485"/>
      <c r="E64" s="485"/>
      <c r="F64" s="485"/>
      <c r="G64" s="485"/>
      <c r="H64" s="485"/>
      <c r="I64" s="485"/>
      <c r="J64" s="486"/>
    </row>
    <row r="65" spans="1:13" ht="12.2" customHeight="1">
      <c r="A65" s="487" t="str">
        <f>A2</f>
        <v>Flange connections (3.1. Flange with conical hub)</v>
      </c>
      <c r="B65" s="488"/>
      <c r="C65" s="488"/>
      <c r="D65" s="488"/>
      <c r="E65" s="488"/>
      <c r="F65" s="488"/>
      <c r="G65" s="488"/>
      <c r="H65" s="488"/>
      <c r="I65" s="488"/>
      <c r="J65" s="489"/>
    </row>
    <row r="66" spans="1:13" ht="12.75" customHeight="1">
      <c r="A66" s="410" t="s">
        <v>987</v>
      </c>
      <c r="B66" s="411"/>
      <c r="C66" s="411"/>
      <c r="D66" s="412" t="s">
        <v>988</v>
      </c>
      <c r="E66" s="556">
        <v>1</v>
      </c>
      <c r="F66" s="1108">
        <v>1</v>
      </c>
      <c r="G66" s="1108" t="s">
        <v>989</v>
      </c>
      <c r="H66" s="1108">
        <f>1+(E54^2+(E55-E84)^2)/(2.6*E54^2)</f>
        <v>1.5786241457406229</v>
      </c>
      <c r="I66" s="1108"/>
      <c r="J66" s="490" t="s">
        <v>116</v>
      </c>
    </row>
    <row r="67" spans="1:13" ht="12.75" customHeight="1">
      <c r="A67" s="415" t="s">
        <v>990</v>
      </c>
      <c r="B67" s="416"/>
      <c r="C67" s="416"/>
      <c r="D67" s="417" t="s">
        <v>991</v>
      </c>
      <c r="E67" s="571">
        <f>E6+(4*E7)/($E$51+$E$52)</f>
        <v>0</v>
      </c>
      <c r="F67" s="1106">
        <f>F6+(4*F7)/($E$51+$E$52)</f>
        <v>0</v>
      </c>
      <c r="G67" s="1106">
        <f>G6+(4*G7)/($E$51+$E$52)</f>
        <v>0</v>
      </c>
      <c r="H67" s="1106">
        <f>H6+(4*H7)/($E$51+$E$52)</f>
        <v>0</v>
      </c>
      <c r="I67" s="1106">
        <f>I6+(4*I7)/($E$51+$E$52)</f>
        <v>0</v>
      </c>
      <c r="J67" s="491" t="s">
        <v>91</v>
      </c>
    </row>
    <row r="68" spans="1:13" ht="12.75" customHeight="1">
      <c r="A68" s="415" t="s">
        <v>992</v>
      </c>
      <c r="B68" s="416"/>
      <c r="C68" s="416"/>
      <c r="D68" s="417" t="s">
        <v>993</v>
      </c>
      <c r="E68" s="571">
        <f>E6+(4*ABS(E7)*($E$51+$E$14))/(($E$51+$E$52)*(2*$E$16*E66))</f>
        <v>0</v>
      </c>
      <c r="F68" s="1106">
        <f>F6+(4*ABS(F7)*($E$51+$E$14))/(($E$51+$E$52)*(2*$E$16*F66))</f>
        <v>0</v>
      </c>
      <c r="G68" s="1106" t="e">
        <f>G6+(4*ABS(G7)*($E$51+$E$14))/(($E$51+$E$52)*(2*$E$16*G66))</f>
        <v>#VALUE!</v>
      </c>
      <c r="H68" s="1106">
        <f>H6+(4*ABS(H7)*($E$51+$E$14))/(($E$51+$E$52)*(2*$E$16*H66))</f>
        <v>0</v>
      </c>
      <c r="I68" s="1106" t="e">
        <f>I6+(4*ABS(I7)*($E$51+$E$14))/(($E$51+$E$52)*(2*$E$16*I66))</f>
        <v>#DIV/0!</v>
      </c>
      <c r="J68" s="491" t="s">
        <v>91</v>
      </c>
    </row>
    <row r="69" spans="1:13" ht="12.75" customHeight="1">
      <c r="A69" s="420" t="s">
        <v>994</v>
      </c>
      <c r="B69" s="421"/>
      <c r="C69" s="421"/>
      <c r="D69" s="422" t="s">
        <v>995</v>
      </c>
      <c r="E69" s="572">
        <f>E6+4*E7/$E$16</f>
        <v>0</v>
      </c>
      <c r="F69" s="1107">
        <f>F6+4*F7/$E$16</f>
        <v>0</v>
      </c>
      <c r="G69" s="1107">
        <f>G6+4*G7/$E$16</f>
        <v>0</v>
      </c>
      <c r="H69" s="1107">
        <f>H6+4*H7/$E$16</f>
        <v>0</v>
      </c>
      <c r="I69" s="1107">
        <f>I6+4*I7/$E$16</f>
        <v>0</v>
      </c>
      <c r="J69" s="492" t="s">
        <v>91</v>
      </c>
    </row>
    <row r="70" spans="1:13" ht="12.2" customHeight="1">
      <c r="A70" s="493" t="s">
        <v>996</v>
      </c>
      <c r="B70" s="494"/>
      <c r="C70" s="494"/>
      <c r="D70" s="495"/>
      <c r="E70" s="496" t="s">
        <v>997</v>
      </c>
      <c r="F70" s="497" t="s">
        <v>998</v>
      </c>
      <c r="G70" s="497"/>
      <c r="H70" s="497" t="s">
        <v>999</v>
      </c>
      <c r="I70" s="497"/>
      <c r="J70" s="444"/>
    </row>
    <row r="71" spans="1:13" ht="12.2" customHeight="1">
      <c r="A71" s="498" t="s">
        <v>1000</v>
      </c>
      <c r="B71" s="499"/>
      <c r="C71" s="499"/>
      <c r="D71" s="500" t="s">
        <v>95</v>
      </c>
      <c r="E71" s="554">
        <v>0</v>
      </c>
      <c r="F71" s="1078">
        <f>PI()/4*$E$51^2*$E$4</f>
        <v>1226399.3578088216</v>
      </c>
      <c r="G71" s="1079">
        <f>PI()/4*F40^2*F38</f>
        <v>0</v>
      </c>
      <c r="H71" s="1078">
        <f>PI()/4*$E$51^2*$E$3</f>
        <v>670687.14880169928</v>
      </c>
      <c r="I71" s="1079">
        <f>PI()/4*H40^2*H38</f>
        <v>0</v>
      </c>
      <c r="J71" s="501" t="s">
        <v>91</v>
      </c>
      <c r="K71" s="378" t="s">
        <v>111</v>
      </c>
    </row>
    <row r="72" spans="1:13" ht="12.2" customHeight="1">
      <c r="A72" s="502" t="s">
        <v>1001</v>
      </c>
      <c r="B72" s="503"/>
      <c r="C72" s="503"/>
      <c r="D72" s="504" t="s">
        <v>96</v>
      </c>
      <c r="E72" s="555">
        <v>0</v>
      </c>
      <c r="F72" s="1080">
        <f>PI()/4*($E$17^2-$E$51^2)*$E$4</f>
        <v>60396.993101557637</v>
      </c>
      <c r="G72" s="1081" t="e">
        <f>PI()/4*(F62^2-F40^2)*F38</f>
        <v>#VALUE!</v>
      </c>
      <c r="H72" s="1080">
        <f>PI()/4*($E$17^2-$E$51^2)*$E$3</f>
        <v>33029.605602414325</v>
      </c>
      <c r="I72" s="1081">
        <f>PI()/4*(H62^2-H40^2)*H38</f>
        <v>0</v>
      </c>
      <c r="J72" s="491" t="s">
        <v>91</v>
      </c>
      <c r="K72" s="378" t="s">
        <v>1079</v>
      </c>
    </row>
    <row r="73" spans="1:13" ht="12.2" customHeight="1">
      <c r="A73" s="502" t="s">
        <v>1002</v>
      </c>
      <c r="B73" s="503" t="s">
        <v>1003</v>
      </c>
      <c r="C73" s="503"/>
      <c r="D73" s="504" t="s">
        <v>119</v>
      </c>
      <c r="E73" s="555">
        <f>PI()*$E$17*$E$38*$E$41</f>
        <v>1507964.4737231007</v>
      </c>
      <c r="F73" s="1073" t="s">
        <v>116</v>
      </c>
      <c r="G73" s="1074" t="s">
        <v>989</v>
      </c>
      <c r="H73" s="1073" t="s">
        <v>116</v>
      </c>
      <c r="I73" s="1074"/>
      <c r="J73" s="491" t="s">
        <v>91</v>
      </c>
    </row>
    <row r="74" spans="1:13" ht="12.2" customHeight="1">
      <c r="A74" s="502"/>
      <c r="B74" s="503" t="s">
        <v>1004</v>
      </c>
      <c r="C74" s="503"/>
      <c r="D74" s="504" t="s">
        <v>120</v>
      </c>
      <c r="E74" s="555">
        <f>1.1*($F$71+$F$72+$F$76+$F$69)</f>
        <v>1493327.1652314954</v>
      </c>
      <c r="F74" s="1073" t="s">
        <v>116</v>
      </c>
      <c r="G74" s="1074" t="s">
        <v>989</v>
      </c>
      <c r="H74" s="1073" t="s">
        <v>116</v>
      </c>
      <c r="I74" s="1074"/>
      <c r="J74" s="491" t="s">
        <v>91</v>
      </c>
      <c r="M74" s="378" t="s">
        <v>1084</v>
      </c>
    </row>
    <row r="75" spans="1:13" ht="12.2" customHeight="1">
      <c r="A75" s="502"/>
      <c r="B75" s="503" t="s">
        <v>1005</v>
      </c>
      <c r="C75" s="503"/>
      <c r="D75" s="504" t="s">
        <v>121</v>
      </c>
      <c r="E75" s="555">
        <f>1.2*($H$71+$H$72+$H$76+$H$69)</f>
        <v>900194.47223374213</v>
      </c>
      <c r="F75" s="1073" t="s">
        <v>116</v>
      </c>
      <c r="G75" s="1074" t="s">
        <v>989</v>
      </c>
      <c r="H75" s="1073" t="s">
        <v>116</v>
      </c>
      <c r="I75" s="1074"/>
      <c r="J75" s="491" t="s">
        <v>91</v>
      </c>
      <c r="M75" s="378" t="s">
        <v>1081</v>
      </c>
    </row>
    <row r="76" spans="1:13" ht="12.2" customHeight="1">
      <c r="A76" s="502" t="s">
        <v>1006</v>
      </c>
      <c r="B76" s="503"/>
      <c r="C76" s="503"/>
      <c r="D76" s="504" t="s">
        <v>97</v>
      </c>
      <c r="E76" s="555">
        <f>MAX($E$73:$E$75)</f>
        <v>1507964.4737231007</v>
      </c>
      <c r="F76" s="1080">
        <f>PI()*$E$17*$E$40*$E$38*$E$4</f>
        <v>70773.799300070867</v>
      </c>
      <c r="G76" s="1081">
        <f>PI()*F65*F46*F45*F41</f>
        <v>0</v>
      </c>
      <c r="H76" s="1080">
        <f>1.2*PI()*$E$17*$E$40*$E$38*$E$3</f>
        <v>46445.305790671504</v>
      </c>
      <c r="I76" s="1081" t="e">
        <f>1.2*PI()*G65*G46*G45*G40</f>
        <v>#VALUE!</v>
      </c>
      <c r="J76" s="491" t="s">
        <v>91</v>
      </c>
      <c r="K76" s="378" t="s">
        <v>1078</v>
      </c>
    </row>
    <row r="77" spans="1:13" ht="12.2" customHeight="1">
      <c r="A77" s="502" t="s">
        <v>1007</v>
      </c>
      <c r="B77" s="503"/>
      <c r="C77" s="503"/>
      <c r="D77" s="504" t="s">
        <v>128</v>
      </c>
      <c r="E77" s="557">
        <f>E30</f>
        <v>19.05</v>
      </c>
      <c r="F77" s="1073" t="s">
        <v>116</v>
      </c>
      <c r="G77" s="1074" t="s">
        <v>989</v>
      </c>
      <c r="H77" s="1073" t="s">
        <v>116</v>
      </c>
      <c r="I77" s="1074"/>
      <c r="J77" s="491" t="s">
        <v>104</v>
      </c>
    </row>
    <row r="78" spans="1:13" ht="12.2" customHeight="1">
      <c r="A78" s="502"/>
      <c r="B78" s="503" t="s">
        <v>1008</v>
      </c>
      <c r="C78" s="503"/>
      <c r="D78" s="504" t="s">
        <v>1009</v>
      </c>
      <c r="E78" s="557">
        <f>1350/SQRT(E77)</f>
        <v>309.30452848056183</v>
      </c>
      <c r="F78" s="1073" t="s">
        <v>116</v>
      </c>
      <c r="G78" s="1074" t="s">
        <v>989</v>
      </c>
      <c r="H78" s="1073" t="s">
        <v>116</v>
      </c>
      <c r="I78" s="1074"/>
      <c r="J78" s="491" t="s">
        <v>536</v>
      </c>
    </row>
    <row r="79" spans="1:13" ht="12.2" customHeight="1">
      <c r="A79" s="502"/>
      <c r="B79" s="503" t="s">
        <v>1010</v>
      </c>
      <c r="C79" s="503"/>
      <c r="D79" s="504" t="s">
        <v>122</v>
      </c>
      <c r="E79" s="555">
        <f>0.9*E28*E32*E25</f>
        <v>5085280.1519999998</v>
      </c>
      <c r="F79" s="1073" t="s">
        <v>116</v>
      </c>
      <c r="G79" s="1074" t="s">
        <v>989</v>
      </c>
      <c r="H79" s="1073" t="s">
        <v>116</v>
      </c>
      <c r="I79" s="1074"/>
      <c r="J79" s="491" t="s">
        <v>91</v>
      </c>
    </row>
    <row r="80" spans="1:13" ht="12.2" customHeight="1">
      <c r="A80" s="502"/>
      <c r="B80" s="503" t="s">
        <v>1011</v>
      </c>
      <c r="C80" s="503"/>
      <c r="D80" s="504" t="s">
        <v>123</v>
      </c>
      <c r="E80" s="555">
        <f>0.77*E28*E33*E25</f>
        <v>4350739.6855999995</v>
      </c>
      <c r="F80" s="1073" t="s">
        <v>116</v>
      </c>
      <c r="G80" s="1074" t="s">
        <v>989</v>
      </c>
      <c r="H80" s="1073" t="s">
        <v>116</v>
      </c>
      <c r="I80" s="1074"/>
      <c r="J80" s="491" t="s">
        <v>91</v>
      </c>
    </row>
    <row r="81" spans="1:11" ht="12.2" customHeight="1">
      <c r="A81" s="502"/>
      <c r="B81" s="503" t="s">
        <v>1012</v>
      </c>
      <c r="C81" s="503"/>
      <c r="D81" s="504" t="s">
        <v>124</v>
      </c>
      <c r="E81" s="555">
        <f>E28*E33*E78</f>
        <v>2410574.9879017924</v>
      </c>
      <c r="F81" s="1073" t="s">
        <v>1013</v>
      </c>
      <c r="G81" s="1074" t="s">
        <v>989</v>
      </c>
      <c r="H81" s="1073" t="s">
        <v>116</v>
      </c>
      <c r="I81" s="1074"/>
      <c r="J81" s="491" t="s">
        <v>91</v>
      </c>
    </row>
    <row r="82" spans="1:11" ht="12.75" customHeight="1">
      <c r="A82" s="506" t="s">
        <v>1014</v>
      </c>
      <c r="B82" s="507"/>
      <c r="C82" s="507"/>
      <c r="D82" s="508" t="s">
        <v>1015</v>
      </c>
      <c r="E82" s="559">
        <f>E35</f>
        <v>2000000</v>
      </c>
      <c r="F82" s="1075" t="s">
        <v>116</v>
      </c>
      <c r="G82" s="1076" t="s">
        <v>989</v>
      </c>
      <c r="H82" s="1075" t="s">
        <v>116</v>
      </c>
      <c r="I82" s="1076"/>
      <c r="J82" s="492" t="s">
        <v>91</v>
      </c>
    </row>
    <row r="83" spans="1:11" ht="12.2" customHeight="1">
      <c r="A83" s="493" t="s">
        <v>1016</v>
      </c>
      <c r="B83" s="494"/>
      <c r="C83" s="494"/>
      <c r="D83" s="495"/>
      <c r="E83" s="510" t="s">
        <v>997</v>
      </c>
      <c r="F83" s="1077" t="s">
        <v>998</v>
      </c>
      <c r="G83" s="1077"/>
      <c r="H83" s="1077" t="s">
        <v>999</v>
      </c>
      <c r="I83" s="1077"/>
      <c r="J83" s="511"/>
    </row>
    <row r="84" spans="1:11" ht="12.2" customHeight="1">
      <c r="A84" s="498" t="s">
        <v>1017</v>
      </c>
      <c r="B84" s="499"/>
      <c r="C84" s="499"/>
      <c r="D84" s="500" t="s">
        <v>467</v>
      </c>
      <c r="E84" s="561">
        <f>MAX($E$31*(1-$E$51/1000),0.5*$E$31)</f>
        <v>11.5</v>
      </c>
      <c r="F84" s="1104" t="s">
        <v>116</v>
      </c>
      <c r="G84" s="1105">
        <f>MAX($E$31*(1-$E$51/1000),0.5*$E$31)</f>
        <v>11.5</v>
      </c>
      <c r="H84" s="1104" t="s">
        <v>116</v>
      </c>
      <c r="I84" s="1105">
        <f>MAX($E$31*(1-$E$51/1000),0.5*$E$31)</f>
        <v>11.5</v>
      </c>
      <c r="J84" s="501" t="s">
        <v>104</v>
      </c>
      <c r="K84" s="378" t="s">
        <v>1085</v>
      </c>
    </row>
    <row r="85" spans="1:11" ht="12.2" customHeight="1">
      <c r="A85" s="502" t="s">
        <v>1018</v>
      </c>
      <c r="B85" s="503"/>
      <c r="C85" s="503"/>
      <c r="D85" s="504" t="s">
        <v>1019</v>
      </c>
      <c r="E85" s="557">
        <f>MIN(1.25*$E$46,0.84*$E$45)</f>
        <v>411.59999999999997</v>
      </c>
      <c r="F85" s="1090">
        <f>MIN(1.15*$E$46,0.77*$E$45)</f>
        <v>377.3</v>
      </c>
      <c r="G85" s="1091">
        <f>MIN(1.25*$E$46,0.84*$E$45)</f>
        <v>411.59999999999997</v>
      </c>
      <c r="H85" s="1090">
        <f>MIN($E$47,0.67*$E$45)</f>
        <v>209.2</v>
      </c>
      <c r="I85" s="1091">
        <f>MIN(1.25*$E$46,0.84*$E$45)</f>
        <v>411.59999999999997</v>
      </c>
      <c r="J85" s="491"/>
      <c r="K85" s="378" t="s">
        <v>1099</v>
      </c>
    </row>
    <row r="86" spans="1:11" ht="12.2" customHeight="1">
      <c r="A86" s="502" t="s">
        <v>1020</v>
      </c>
      <c r="B86" s="503"/>
      <c r="C86" s="503"/>
      <c r="D86" s="504" t="s">
        <v>1021</v>
      </c>
      <c r="E86" s="557">
        <f>E71/(PI()*($E$51+$E$52)*E85)</f>
        <v>0</v>
      </c>
      <c r="F86" s="1090">
        <f>F71/(PI()*($E$51+$E$52)*F85)</f>
        <v>0.65817698944354186</v>
      </c>
      <c r="G86" s="1091">
        <f>G71/(PI()*($E$51+$E$52)*G85)</f>
        <v>0</v>
      </c>
      <c r="H86" s="1090">
        <f>H71/(PI()*($E$51+$E$52)*H85)</f>
        <v>0.64916618622256606</v>
      </c>
      <c r="I86" s="1091">
        <f>I71/(PI()*($E$51+$E$52)*I85)</f>
        <v>0</v>
      </c>
      <c r="J86" s="491" t="s">
        <v>104</v>
      </c>
      <c r="K86" s="378" t="s">
        <v>1100</v>
      </c>
    </row>
    <row r="87" spans="1:11" ht="12.2" customHeight="1">
      <c r="A87" s="502" t="s">
        <v>1022</v>
      </c>
      <c r="B87" s="503"/>
      <c r="C87" s="503"/>
      <c r="D87" s="504" t="s">
        <v>482</v>
      </c>
      <c r="E87" s="555">
        <f>( (E71+E68)*($E$16-$E$51-$E$52)+E72*($E$16-0.5*($E$51+$E$17))+E76*($E$16-$E$17))*0.25/PI()</f>
        <v>7200000</v>
      </c>
      <c r="F87" s="1080">
        <f t="shared" ref="F87:I88" si="0">( (F71+F68)*($E$16-$E$51-$E$52)+F72*($E$16-0.5*($E$51+$E$17))+F76*($E$16-$E$17))*0.25/PI()</f>
        <v>9305863.8399999999</v>
      </c>
      <c r="G87" s="1081" t="e">
        <f t="shared" si="0"/>
        <v>#VALUE!</v>
      </c>
      <c r="H87" s="1080">
        <f t="shared" si="0"/>
        <v>5126104.2874999996</v>
      </c>
      <c r="I87" s="1081" t="e">
        <f t="shared" si="0"/>
        <v>#DIV/0!</v>
      </c>
      <c r="J87" s="491" t="s">
        <v>678</v>
      </c>
      <c r="K87" s="378" t="s">
        <v>483</v>
      </c>
    </row>
    <row r="88" spans="1:11" ht="12.2" customHeight="1">
      <c r="A88" s="502" t="s">
        <v>1023</v>
      </c>
      <c r="B88" s="503"/>
      <c r="C88" s="503"/>
      <c r="D88" s="504" t="s">
        <v>1024</v>
      </c>
      <c r="E88" s="505" t="s">
        <v>116</v>
      </c>
      <c r="F88" s="1080">
        <f>( F71*($E$16-$E$51-$E$52)+F72*($E$16-0.5*($E$51+$E$17))+(E82-F71-F72)*($E$16-$E$17))*0.25/PI()</f>
        <v>12373240.425513718</v>
      </c>
      <c r="G88" s="1081" t="e">
        <f t="shared" si="0"/>
        <v>#VALUE!</v>
      </c>
      <c r="H88" s="1073" t="s">
        <v>116</v>
      </c>
      <c r="I88" s="1074"/>
      <c r="J88" s="491" t="s">
        <v>678</v>
      </c>
    </row>
    <row r="89" spans="1:11" ht="12.2" customHeight="1">
      <c r="A89" s="502" t="s">
        <v>1025</v>
      </c>
      <c r="B89" s="503"/>
      <c r="C89" s="503"/>
      <c r="D89" s="504" t="s">
        <v>476</v>
      </c>
      <c r="E89" s="555">
        <f>(E71+E72+E76+E69)*(0.5*($E$16-$E$51)-$E$53)</f>
        <v>45238934.211693019</v>
      </c>
      <c r="F89" s="1080">
        <f>(F71+F72+F76+F69)*(0.5*($E$16-$E$51)-$E$53)</f>
        <v>40727104.506313503</v>
      </c>
      <c r="G89" s="1081" t="e">
        <f>(G71+G72+G76+G69)*(0.5*($E$16-$E$51)-$E$53)</f>
        <v>#VALUE!</v>
      </c>
      <c r="H89" s="1080">
        <f>(H71+H72+H76+H69)*(0.5*($E$16-$E$51)-$E$53)</f>
        <v>22504861.805843554</v>
      </c>
      <c r="I89" s="1081" t="e">
        <f>(I71+I72+I76+I69)*(0.5*($E$16-$E$51)-$E$53)</f>
        <v>#VALUE!</v>
      </c>
      <c r="J89" s="491" t="s">
        <v>678</v>
      </c>
      <c r="K89" s="378" t="s">
        <v>1086</v>
      </c>
    </row>
    <row r="90" spans="1:11" ht="12.2" customHeight="1" thickBot="1">
      <c r="A90" s="506" t="s">
        <v>1026</v>
      </c>
      <c r="B90" s="507"/>
      <c r="C90" s="507"/>
      <c r="D90" s="508" t="s">
        <v>1027</v>
      </c>
      <c r="E90" s="509" t="s">
        <v>116</v>
      </c>
      <c r="F90" s="1092">
        <f>E82*(0.5*($E$16-$E$51)-$E$53)</f>
        <v>60000000</v>
      </c>
      <c r="G90" s="1087" t="e">
        <f>(G72+G73+G77+G70)*(0.5*($E$16-$E$51)-$E$53)</f>
        <v>#VALUE!</v>
      </c>
      <c r="H90" s="1075" t="s">
        <v>116</v>
      </c>
      <c r="I90" s="1076"/>
      <c r="J90" s="492" t="s">
        <v>678</v>
      </c>
    </row>
    <row r="91" spans="1:11" ht="12.2" customHeight="1">
      <c r="A91" s="513" t="s">
        <v>1028</v>
      </c>
      <c r="B91" s="514"/>
      <c r="C91" s="514"/>
      <c r="D91" s="515" t="s">
        <v>1029</v>
      </c>
      <c r="E91" s="570">
        <f>0.8*SQRT($E$52*($E$51+$E$52))</f>
        <v>100.30353931940788</v>
      </c>
      <c r="F91" s="1102">
        <f>0.8*SQRT($E$52*($E$51+$E$52))</f>
        <v>100.30353931940788</v>
      </c>
      <c r="G91" s="1103">
        <f>0.8*SQRT($E$52*($E$51+$E$52))</f>
        <v>100.30353931940788</v>
      </c>
      <c r="H91" s="1102">
        <f>0.8*SQRT($E$52*($E$51+$E$52))</f>
        <v>100.30353931940788</v>
      </c>
      <c r="I91" s="1103">
        <f>0.8*SQRT($E$52*($E$51+$E$52))</f>
        <v>100.30353931940788</v>
      </c>
      <c r="J91" s="490" t="s">
        <v>104</v>
      </c>
      <c r="K91" s="378" t="s">
        <v>1106</v>
      </c>
    </row>
    <row r="92" spans="1:11" ht="12.2" customHeight="1">
      <c r="A92" s="502" t="s">
        <v>1030</v>
      </c>
      <c r="B92" s="503"/>
      <c r="C92" s="503"/>
      <c r="D92" s="504" t="s">
        <v>1031</v>
      </c>
      <c r="E92" s="557">
        <f>E54*(E55-E84)</f>
        <v>5500</v>
      </c>
      <c r="F92" s="1099" t="s">
        <v>116</v>
      </c>
      <c r="G92" s="1100" t="s">
        <v>989</v>
      </c>
      <c r="H92" s="1099" t="s">
        <v>116</v>
      </c>
      <c r="I92" s="1100"/>
      <c r="J92" s="491" t="s">
        <v>571</v>
      </c>
      <c r="K92" s="378" t="s">
        <v>1093</v>
      </c>
    </row>
    <row r="93" spans="1:11" ht="12.2" customHeight="1">
      <c r="A93" s="502" t="s">
        <v>1032</v>
      </c>
      <c r="B93" s="503"/>
      <c r="C93" s="503"/>
      <c r="D93" s="504" t="s">
        <v>1033</v>
      </c>
      <c r="E93" s="557">
        <f>E22/2*(E53-E52)</f>
        <v>180</v>
      </c>
      <c r="F93" s="1099" t="s">
        <v>116</v>
      </c>
      <c r="G93" s="1100" t="s">
        <v>989</v>
      </c>
      <c r="H93" s="1099" t="s">
        <v>116</v>
      </c>
      <c r="I93" s="1100"/>
      <c r="J93" s="491" t="s">
        <v>571</v>
      </c>
    </row>
    <row r="94" spans="1:11" ht="12.2" customHeight="1">
      <c r="A94" s="502" t="s">
        <v>1034</v>
      </c>
      <c r="B94" s="503"/>
      <c r="C94" s="503"/>
      <c r="D94" s="504" t="s">
        <v>1035</v>
      </c>
      <c r="E94" s="557">
        <f>E22*E52</f>
        <v>400</v>
      </c>
      <c r="F94" s="1099" t="s">
        <v>116</v>
      </c>
      <c r="G94" s="1100" t="s">
        <v>989</v>
      </c>
      <c r="H94" s="1099" t="s">
        <v>116</v>
      </c>
      <c r="I94" s="1100"/>
      <c r="J94" s="491" t="s">
        <v>571</v>
      </c>
    </row>
    <row r="95" spans="1:11" ht="12.2" customHeight="1">
      <c r="A95" s="502" t="s">
        <v>1036</v>
      </c>
      <c r="B95" s="503"/>
      <c r="C95" s="503"/>
      <c r="D95" s="504"/>
      <c r="E95" s="557">
        <f>IF( E91&lt; $E$49, MIN(E85/E102,1),0)</f>
        <v>1</v>
      </c>
      <c r="F95" s="1090">
        <f>IF( F91&lt; $E$49, MIN(F85/F102,1),0)</f>
        <v>1</v>
      </c>
      <c r="G95" s="1091">
        <f>IF( G91&lt; $E$49, MIN(G85/G102,1),0)</f>
        <v>1</v>
      </c>
      <c r="H95" s="1090">
        <f>IF( H91&lt; $E$49, MIN(H85/H102,1),0)</f>
        <v>1</v>
      </c>
      <c r="I95" s="1091">
        <f>IF( I91&lt; $E$49, MIN(I85/I102,1),0)</f>
        <v>1</v>
      </c>
      <c r="J95" s="491" t="s">
        <v>116</v>
      </c>
    </row>
    <row r="96" spans="1:11" ht="12.2" customHeight="1">
      <c r="A96" s="502" t="s">
        <v>1037</v>
      </c>
      <c r="B96" s="503"/>
      <c r="C96" s="503"/>
      <c r="D96" s="504"/>
      <c r="E96" s="557">
        <f>(E92*(E54/2)+E93*(E54+E22/3)+E94*(E54+E22/2))/(E92+E93+E94)</f>
        <v>49.907894736842103</v>
      </c>
      <c r="F96" s="1101" t="s">
        <v>116</v>
      </c>
      <c r="G96" s="1100" t="s">
        <v>989</v>
      </c>
      <c r="H96" s="1101" t="s">
        <v>116</v>
      </c>
      <c r="I96" s="1100"/>
      <c r="J96" s="491" t="s">
        <v>104</v>
      </c>
      <c r="K96" s="378" t="s">
        <v>1105</v>
      </c>
    </row>
    <row r="97" spans="1:11" ht="12.2" customHeight="1">
      <c r="A97" s="502" t="s">
        <v>1038</v>
      </c>
      <c r="B97" s="503"/>
      <c r="C97" s="503"/>
      <c r="D97" s="504"/>
      <c r="E97" s="555">
        <f>1/6*(4*$E$96^2*($E$55-$E$84)+$E$95*0.5*($E$51+$E$52)*($E$52^2-$E$86^2))</f>
        <v>116883.24821098798</v>
      </c>
      <c r="F97" s="1080">
        <f>1/6*(4*$E$96^2*($E$55-$E$84)+$E$95*0.5*($E$51+$E$52)*($E$52^2-$F$86^2))</f>
        <v>116826.49941061228</v>
      </c>
      <c r="G97" s="1081">
        <f>1/6*(4*$E$96^2*($E$55-$E$84)+$E$95*0.5*($E$51+$E$52)*($E$52^2-$E$86^2))</f>
        <v>116883.24821098798</v>
      </c>
      <c r="H97" s="1080">
        <f>1/6*(4*$E$96^2*($E$55-$E$84)+$E$95*0.5*($E$51+$E$52)*($E$52^2-$H$86^2))</f>
        <v>116828.04261839713</v>
      </c>
      <c r="I97" s="1081">
        <f>1/6*(4*$E$96^2*($E$55-$E$84)+$E$95*0.5*($E$51+$E$52)*($E$52^2-$E$86^2))</f>
        <v>116883.24821098798</v>
      </c>
      <c r="J97" s="491" t="s">
        <v>1039</v>
      </c>
      <c r="K97" s="378" t="s">
        <v>1101</v>
      </c>
    </row>
    <row r="98" spans="1:11" ht="12.2" customHeight="1">
      <c r="A98" s="502" t="s">
        <v>1040</v>
      </c>
      <c r="B98" s="503"/>
      <c r="C98" s="503"/>
      <c r="D98" s="504"/>
      <c r="E98" s="512"/>
      <c r="F98" s="1080">
        <f>IF(F91&lt;$E$49,F97+1/6*(E54+E22-E96)*(E52-1.7*F86)*SQRT(E52*(E51+E52)),F97)</f>
        <v>131319.18493312117</v>
      </c>
      <c r="G98" s="1081" t="s">
        <v>989</v>
      </c>
      <c r="H98" s="1073" t="s">
        <v>116</v>
      </c>
      <c r="I98" s="1074"/>
      <c r="J98" s="491" t="s">
        <v>1039</v>
      </c>
    </row>
    <row r="99" spans="1:11" ht="12.2" customHeight="1">
      <c r="A99" s="502" t="s">
        <v>1041</v>
      </c>
      <c r="B99" s="503"/>
      <c r="C99" s="503"/>
      <c r="D99" s="504"/>
      <c r="E99" s="555">
        <f>1/6*(($E$55-$E$84)*$E$54^2+0.5*($E$51+$E$53)*($E$53^2-$E$86^2))</f>
        <v>128228.41666666666</v>
      </c>
      <c r="F99" s="1080">
        <f>1/6*(($E$55-$E$84)*$E$54^2+0.5*($E$51+$E$53)*($E$53^2-$F$86^2))</f>
        <v>128171.34296857887</v>
      </c>
      <c r="G99" s="1081">
        <f>1/6*(($E$55-$E$84)*$E$54^2+0.5*($E$51+$E$53)*($E$53^2-$E$86^2))</f>
        <v>128228.41666666666</v>
      </c>
      <c r="H99" s="1080">
        <f>1/6*(($E$55-$E$84)*$E$54^2+0.5*($E$51+$E$53)*($E$53^2-$H$86^2))</f>
        <v>128172.89501152281</v>
      </c>
      <c r="I99" s="1081">
        <f>1/6*(($E$55-$E$84)*$E$54^2+0.5*($E$51+$E$53)*($E$53^2-$E$86^2))</f>
        <v>128228.41666666666</v>
      </c>
      <c r="J99" s="491" t="s">
        <v>1039</v>
      </c>
      <c r="K99" s="378" t="s">
        <v>1102</v>
      </c>
    </row>
    <row r="100" spans="1:11" ht="12.2" customHeight="1">
      <c r="A100" s="502" t="s">
        <v>1042</v>
      </c>
      <c r="B100" s="503"/>
      <c r="C100" s="503"/>
      <c r="D100" s="504"/>
      <c r="E100" s="505" t="s">
        <v>116</v>
      </c>
      <c r="F100" s="1080">
        <f>F99+E54/12*(E53-1.7*F86)*SQRT(E53*(E51+E53))</f>
        <v>150898.14725997718</v>
      </c>
      <c r="G100" s="1081" t="s">
        <v>989</v>
      </c>
      <c r="H100" s="1073" t="s">
        <v>116</v>
      </c>
      <c r="I100" s="1074"/>
      <c r="J100" s="491" t="s">
        <v>1039</v>
      </c>
    </row>
    <row r="101" spans="1:11" ht="12.2" customHeight="1" thickBot="1">
      <c r="A101" s="506" t="s">
        <v>1043</v>
      </c>
      <c r="B101" s="507"/>
      <c r="C101" s="507"/>
      <c r="D101" s="508"/>
      <c r="E101" s="559">
        <f>PI()/6*($E$51+2*$E$53)*$E$54^2</f>
        <v>6487598.2691731621</v>
      </c>
      <c r="F101" s="1086">
        <f>PI()/6*($E$51+2*$E$53)*$E$54^2</f>
        <v>6487598.2691731621</v>
      </c>
      <c r="G101" s="1087">
        <f>PI()/6*($E$51+2*$E$53)*$E$54^2</f>
        <v>6487598.2691731621</v>
      </c>
      <c r="H101" s="1086">
        <f>PI()/6*($E$51+2*$E$53)*$E$54^2</f>
        <v>6487598.2691731621</v>
      </c>
      <c r="I101" s="1087">
        <f>PI()/6*($E$51+2*$E$53)*$E$54^2</f>
        <v>6487598.2691731621</v>
      </c>
      <c r="J101" s="492" t="s">
        <v>1039</v>
      </c>
      <c r="K101" s="378" t="s">
        <v>1103</v>
      </c>
    </row>
    <row r="102" spans="1:11" ht="12.2" customHeight="1">
      <c r="A102" s="513" t="s">
        <v>1044</v>
      </c>
      <c r="B102" s="514"/>
      <c r="C102" s="514"/>
      <c r="D102" s="515" t="s">
        <v>1045</v>
      </c>
      <c r="E102" s="565">
        <f>MIN(1.25*$E$10,0.84*$E$9)</f>
        <v>312.5</v>
      </c>
      <c r="F102" s="1088">
        <f>MIN(1.15*$E$10,0.77*$E$9)</f>
        <v>287.5</v>
      </c>
      <c r="G102" s="1089">
        <f>MIN(1.25*$E$46,0.84*$E$45)</f>
        <v>411.59999999999997</v>
      </c>
      <c r="H102" s="1088">
        <f>MIN($E$11,0.67*$E$9)</f>
        <v>177.2</v>
      </c>
      <c r="I102" s="1089">
        <f>MIN(1.25*$E$46,0.84*$E$45)</f>
        <v>411.59999999999997</v>
      </c>
      <c r="J102" s="490" t="s">
        <v>536</v>
      </c>
      <c r="K102" s="378" t="s">
        <v>1104</v>
      </c>
    </row>
    <row r="103" spans="1:11" ht="12.2" customHeight="1">
      <c r="A103" s="502" t="s">
        <v>1046</v>
      </c>
      <c r="B103" s="516"/>
      <c r="C103" s="503"/>
      <c r="D103" s="504" t="s">
        <v>1047</v>
      </c>
      <c r="E103" s="557">
        <f>MAX(SQRT((PI()*$E$16)/($E$28*(2*$E$31+$E$54))),1)</f>
        <v>1</v>
      </c>
      <c r="F103" s="1090">
        <f>MAX(SQRT((PI()*$E$16)/($E$28*(2*$E$31+$E$54))),1)</f>
        <v>1</v>
      </c>
      <c r="G103" s="1091">
        <f>MAX(SQRT((PI()*$E$16)/($E$28*(2*$E$31+$E$54))),1)</f>
        <v>1</v>
      </c>
      <c r="H103" s="1090">
        <f>MAX(SQRT((PI()*$E$16)/($E$28*(2*$E$31+$E$54))),1)</f>
        <v>1</v>
      </c>
      <c r="I103" s="1091">
        <f>MAX(SQRT((PI()*$E$16)/($E$28*(2*$E$31+$E$54))),1)</f>
        <v>1</v>
      </c>
      <c r="J103" s="491" t="s">
        <v>116</v>
      </c>
    </row>
    <row r="104" spans="1:11" ht="12.2" customHeight="1">
      <c r="A104" s="502" t="s">
        <v>1048</v>
      </c>
      <c r="B104" s="503"/>
      <c r="C104" s="503"/>
      <c r="D104" s="504" t="s">
        <v>1049</v>
      </c>
      <c r="E104" s="551">
        <f>E103*E87/E97</f>
        <v>61.599930787371299</v>
      </c>
      <c r="F104" s="1082">
        <f>F103*F87/F97</f>
        <v>79.655419677452684</v>
      </c>
      <c r="G104" s="1083" t="e">
        <f>G103*G87/G97</f>
        <v>#VALUE!</v>
      </c>
      <c r="H104" s="1082">
        <f>H103*H87/H97</f>
        <v>43.877344622161651</v>
      </c>
      <c r="I104" s="1083" t="e">
        <f>I103*I87/I97</f>
        <v>#DIV/0!</v>
      </c>
      <c r="J104" s="491" t="s">
        <v>536</v>
      </c>
    </row>
    <row r="105" spans="1:11" ht="12.2" customHeight="1">
      <c r="A105" s="502" t="s">
        <v>1050</v>
      </c>
      <c r="B105" s="503"/>
      <c r="C105" s="503"/>
      <c r="D105" s="504" t="s">
        <v>1051</v>
      </c>
      <c r="E105" s="551">
        <f>E103*E87/E99</f>
        <v>56.149800388759388</v>
      </c>
      <c r="F105" s="1082">
        <f>F103*F87/F99</f>
        <v>72.604871139419416</v>
      </c>
      <c r="G105" s="1083" t="e">
        <f>G103*G87/G99</f>
        <v>#VALUE!</v>
      </c>
      <c r="H105" s="1082">
        <f>H103*H87/H99</f>
        <v>39.993668607072969</v>
      </c>
      <c r="I105" s="1083" t="e">
        <f>I103*I87/I99</f>
        <v>#DIV/0!</v>
      </c>
      <c r="J105" s="491" t="s">
        <v>536</v>
      </c>
    </row>
    <row r="106" spans="1:11" ht="12.2" customHeight="1" thickBot="1">
      <c r="A106" s="506" t="s">
        <v>1052</v>
      </c>
      <c r="B106" s="507"/>
      <c r="C106" s="507"/>
      <c r="D106" s="508" t="s">
        <v>1053</v>
      </c>
      <c r="E106" s="551">
        <f>E103*E89/E101</f>
        <v>6.9731404958677681</v>
      </c>
      <c r="F106" s="1084">
        <f>F103*F89/F101</f>
        <v>6.2776859504132227</v>
      </c>
      <c r="G106" s="1085" t="e">
        <f>G103*G89/G101</f>
        <v>#VALUE!</v>
      </c>
      <c r="H106" s="1084">
        <f>H103*H89/H101</f>
        <v>3.4689049586776859</v>
      </c>
      <c r="I106" s="1085" t="e">
        <f>I103*I89/I101</f>
        <v>#VALUE!</v>
      </c>
      <c r="J106" s="492" t="s">
        <v>536</v>
      </c>
    </row>
    <row r="107" spans="1:11" ht="12.2" customHeight="1">
      <c r="A107" s="493" t="s">
        <v>1054</v>
      </c>
      <c r="B107" s="494"/>
      <c r="C107" s="494"/>
      <c r="D107" s="495"/>
      <c r="E107" s="496" t="s">
        <v>997</v>
      </c>
      <c r="F107" s="1077" t="s">
        <v>998</v>
      </c>
      <c r="G107" s="1077"/>
      <c r="H107" s="1077" t="s">
        <v>999</v>
      </c>
      <c r="I107" s="1077"/>
      <c r="J107" s="511"/>
    </row>
    <row r="108" spans="1:11" ht="12.2" customHeight="1">
      <c r="A108" s="498" t="s">
        <v>1055</v>
      </c>
      <c r="B108" s="499"/>
      <c r="C108" s="499"/>
      <c r="D108" s="500" t="s">
        <v>1056</v>
      </c>
      <c r="E108" s="517" t="s">
        <v>116</v>
      </c>
      <c r="F108" s="1095">
        <f>1.35*E10</f>
        <v>337.5</v>
      </c>
      <c r="G108" s="1096" t="s">
        <v>989</v>
      </c>
      <c r="H108" s="1093" t="s">
        <v>116</v>
      </c>
      <c r="I108" s="1094"/>
      <c r="J108" s="501" t="s">
        <v>536</v>
      </c>
    </row>
    <row r="109" spans="1:11" ht="12.2" customHeight="1">
      <c r="A109" s="502" t="s">
        <v>1057</v>
      </c>
      <c r="B109" s="503"/>
      <c r="C109" s="503"/>
      <c r="D109" s="504" t="s">
        <v>1058</v>
      </c>
      <c r="E109" s="518" t="s">
        <v>116</v>
      </c>
      <c r="F109" s="1082">
        <f>F103*F88/F98</f>
        <v>94.222641054429474</v>
      </c>
      <c r="G109" s="1083" t="s">
        <v>989</v>
      </c>
      <c r="H109" s="1073" t="s">
        <v>116</v>
      </c>
      <c r="I109" s="1074"/>
      <c r="J109" s="491" t="s">
        <v>536</v>
      </c>
    </row>
    <row r="110" spans="1:11" ht="12.2" customHeight="1">
      <c r="A110" s="502" t="s">
        <v>1059</v>
      </c>
      <c r="B110" s="503"/>
      <c r="C110" s="503"/>
      <c r="D110" s="504" t="s">
        <v>1060</v>
      </c>
      <c r="E110" s="518" t="s">
        <v>116</v>
      </c>
      <c r="F110" s="1082">
        <f>F103*F88/F100</f>
        <v>81.997298510208296</v>
      </c>
      <c r="G110" s="1083" t="s">
        <v>989</v>
      </c>
      <c r="H110" s="1073" t="s">
        <v>116</v>
      </c>
      <c r="I110" s="1074"/>
      <c r="J110" s="491" t="s">
        <v>536</v>
      </c>
    </row>
    <row r="111" spans="1:11" ht="12.2" customHeight="1">
      <c r="A111" s="502" t="s">
        <v>1061</v>
      </c>
      <c r="B111" s="503"/>
      <c r="C111" s="503"/>
      <c r="D111" s="504" t="s">
        <v>1062</v>
      </c>
      <c r="E111" s="518" t="s">
        <v>116</v>
      </c>
      <c r="F111" s="1082">
        <f>F103*F90/F101</f>
        <v>9.2484148232635466</v>
      </c>
      <c r="G111" s="1083" t="s">
        <v>989</v>
      </c>
      <c r="H111" s="1073" t="s">
        <v>116</v>
      </c>
      <c r="I111" s="1074"/>
      <c r="J111" s="491" t="s">
        <v>536</v>
      </c>
    </row>
    <row r="112" spans="1:11" ht="12.2" customHeight="1">
      <c r="A112" s="502" t="s">
        <v>1063</v>
      </c>
      <c r="B112" s="503"/>
      <c r="C112" s="503"/>
      <c r="D112" s="504" t="s">
        <v>69</v>
      </c>
      <c r="E112" s="518" t="s">
        <v>116</v>
      </c>
      <c r="F112" s="1082">
        <f>MAX(0.5*(E54+0.7*(E22/E54)*SQRT(E53*(E51+E53))),0.5*(E54+0.7*SQRT(E52*(E51+E52))))</f>
        <v>87.882798452240934</v>
      </c>
      <c r="G112" s="1083" t="s">
        <v>989</v>
      </c>
      <c r="H112" s="1073" t="s">
        <v>116</v>
      </c>
      <c r="I112" s="1074"/>
      <c r="J112" s="491" t="s">
        <v>104</v>
      </c>
    </row>
    <row r="113" spans="1:14" ht="12.2" customHeight="1">
      <c r="A113" s="506" t="s">
        <v>1064</v>
      </c>
      <c r="B113" s="507"/>
      <c r="C113" s="507"/>
      <c r="D113" s="519" t="s">
        <v>815</v>
      </c>
      <c r="E113" s="520" t="s">
        <v>116</v>
      </c>
      <c r="F113" s="1097">
        <f>180/PI()*(E103*F88)/F100*E17/(2*F112*M11)</f>
        <v>0.21383475350582626</v>
      </c>
      <c r="G113" s="1098" t="s">
        <v>989</v>
      </c>
      <c r="H113" s="1075" t="s">
        <v>116</v>
      </c>
      <c r="I113" s="1076"/>
      <c r="J113" s="492" t="s">
        <v>1065</v>
      </c>
    </row>
    <row r="114" spans="1:14" ht="12.2" customHeight="1">
      <c r="A114" s="513" t="s">
        <v>1066</v>
      </c>
      <c r="B114" s="514"/>
      <c r="C114" s="514"/>
      <c r="D114" s="515" t="s">
        <v>148</v>
      </c>
      <c r="E114" s="565">
        <f>MIN(0.79*E25,0.59*E24)</f>
        <v>507.4</v>
      </c>
      <c r="F114" s="1088">
        <f>MIN(0.72*E25,0.54*E24)</f>
        <v>464.40000000000003</v>
      </c>
      <c r="G114" s="1089" t="e">
        <f>MIN(0.63*E88,0.47*E89)</f>
        <v>#VALUE!</v>
      </c>
      <c r="H114" s="1088">
        <f>MIN(0.63*E26,0.47*E24)</f>
        <v>243.81</v>
      </c>
      <c r="I114" s="1089" t="e">
        <f>MIN(0.63*G88,0.47*G89)</f>
        <v>#VALUE!</v>
      </c>
      <c r="J114" s="490" t="s">
        <v>536</v>
      </c>
    </row>
    <row r="115" spans="1:14" ht="12.2" customHeight="1">
      <c r="A115" s="506" t="s">
        <v>1067</v>
      </c>
      <c r="B115" s="507"/>
      <c r="C115" s="507"/>
      <c r="D115" s="508" t="s">
        <v>1068</v>
      </c>
      <c r="E115" s="564">
        <f>(E71+E72+E76+E69)/($E$28*$E$32)</f>
        <v>193.48920604056494</v>
      </c>
      <c r="F115" s="1084">
        <f>(F71+F72+F76+F69)/($E$28*$E$32)</f>
        <v>174.19188255811926</v>
      </c>
      <c r="G115" s="1085" t="e">
        <f>(G71+G72+G76+G69)/($E$28*$E$32)</f>
        <v>#VALUE!</v>
      </c>
      <c r="H115" s="1084">
        <f>(H71+H72+H76+H69)/($E$28*$E$32)</f>
        <v>96.254430364979697</v>
      </c>
      <c r="I115" s="1085" t="e">
        <f>(I71+I72+I76+I69)/($E$28*$E$32)</f>
        <v>#VALUE!</v>
      </c>
      <c r="J115" s="492" t="s">
        <v>536</v>
      </c>
      <c r="K115" s="378" t="s">
        <v>1088</v>
      </c>
    </row>
    <row r="116" spans="1:14" ht="12.2" customHeight="1">
      <c r="A116" s="493" t="s">
        <v>1069</v>
      </c>
      <c r="B116" s="494"/>
      <c r="C116" s="494"/>
      <c r="D116" s="495"/>
      <c r="E116" s="510" t="s">
        <v>989</v>
      </c>
      <c r="F116" s="1077" t="s">
        <v>998</v>
      </c>
      <c r="G116" s="1077" t="s">
        <v>989</v>
      </c>
      <c r="H116" s="1077" t="s">
        <v>999</v>
      </c>
      <c r="I116" s="1077" t="s">
        <v>989</v>
      </c>
      <c r="J116" s="511"/>
    </row>
    <row r="117" spans="1:14" ht="12.2" customHeight="1">
      <c r="A117" s="498" t="s">
        <v>1113</v>
      </c>
      <c r="B117" s="499"/>
      <c r="C117" s="499"/>
      <c r="D117" s="500" t="s">
        <v>1070</v>
      </c>
      <c r="E117" s="562">
        <f>$E$76/(PI()*$E$17*$E$38)</f>
        <v>15</v>
      </c>
      <c r="F117" s="1093"/>
      <c r="G117" s="1094" t="s">
        <v>989</v>
      </c>
      <c r="H117" s="1093"/>
      <c r="I117" s="1094" t="s">
        <v>989</v>
      </c>
      <c r="J117" s="501" t="s">
        <v>536</v>
      </c>
      <c r="K117" s="378" t="s">
        <v>1087</v>
      </c>
    </row>
    <row r="118" spans="1:14" ht="12.2" customHeight="1">
      <c r="A118" s="506" t="s">
        <v>1111</v>
      </c>
      <c r="B118" s="507"/>
      <c r="C118" s="507"/>
      <c r="D118" s="508" t="s">
        <v>1110</v>
      </c>
      <c r="E118" s="563">
        <f>$E$82/(PI()*$E$17*$E$38)</f>
        <v>19.894367886486915</v>
      </c>
      <c r="F118" s="1075" t="s">
        <v>989</v>
      </c>
      <c r="G118" s="1076" t="s">
        <v>989</v>
      </c>
      <c r="H118" s="1075" t="str">
        <f>IF(E118&lt;=E43,"allow Pd=0:yes","allow Pd=0:no")</f>
        <v>allow Pd=0:yes</v>
      </c>
      <c r="I118" s="1076"/>
      <c r="J118" s="492" t="s">
        <v>536</v>
      </c>
      <c r="K118" s="378" t="s">
        <v>1112</v>
      </c>
      <c r="N118" s="378" t="s">
        <v>1089</v>
      </c>
    </row>
    <row r="119" spans="1:14" ht="12.2" customHeight="1">
      <c r="A119" s="521"/>
      <c r="B119" s="522" t="s">
        <v>1071</v>
      </c>
      <c r="C119" s="522"/>
      <c r="D119" s="523"/>
      <c r="E119" s="524"/>
      <c r="F119" s="524"/>
      <c r="G119" s="524"/>
      <c r="H119" s="524"/>
      <c r="I119" s="524"/>
      <c r="J119" s="525"/>
    </row>
    <row r="120" spans="1:14" ht="12.2" customHeight="1">
      <c r="A120" s="526"/>
      <c r="B120" s="522" t="s">
        <v>1072</v>
      </c>
      <c r="C120" s="527"/>
      <c r="D120" s="528"/>
      <c r="E120" s="527"/>
      <c r="F120" s="527"/>
      <c r="G120" s="527"/>
      <c r="H120" s="527"/>
      <c r="I120" s="527"/>
      <c r="J120" s="529"/>
    </row>
    <row r="121" spans="1:14" ht="12.2" customHeight="1">
      <c r="A121" s="526"/>
      <c r="B121" s="522" t="s">
        <v>1073</v>
      </c>
      <c r="C121" s="527"/>
      <c r="D121" s="528"/>
      <c r="E121" s="527"/>
      <c r="F121" s="527"/>
      <c r="G121" s="527"/>
      <c r="H121" s="527"/>
      <c r="I121" s="527"/>
      <c r="J121" s="530"/>
    </row>
    <row r="122" spans="1:14" ht="12.2" customHeight="1">
      <c r="A122" s="462" t="s">
        <v>590</v>
      </c>
      <c r="B122" s="531" t="str">
        <f>B59</f>
        <v xml:space="preserve">Vessel Engineering Software, </v>
      </c>
      <c r="C122" s="531"/>
      <c r="D122" s="531"/>
      <c r="E122" s="531"/>
      <c r="F122" s="464" t="s">
        <v>592</v>
      </c>
      <c r="G122" s="531" t="str">
        <f>G59</f>
        <v>P3350</v>
      </c>
      <c r="H122" s="531"/>
      <c r="I122" s="531"/>
      <c r="J122" s="532"/>
    </row>
    <row r="123" spans="1:14" ht="12.2" customHeight="1">
      <c r="A123" s="466" t="s">
        <v>594</v>
      </c>
      <c r="B123" s="533" t="str">
        <f>B60</f>
        <v>Zeeland Refinery</v>
      </c>
      <c r="C123" s="533"/>
      <c r="D123" s="533"/>
      <c r="E123" s="533"/>
      <c r="F123" s="468" t="s">
        <v>596</v>
      </c>
      <c r="G123" s="533" t="str">
        <f>G60</f>
        <v>293H02</v>
      </c>
      <c r="H123" s="533"/>
      <c r="I123" s="533"/>
      <c r="J123" s="534"/>
    </row>
    <row r="124" spans="1:14" ht="12.2" customHeight="1">
      <c r="A124" s="466" t="s">
        <v>598</v>
      </c>
      <c r="B124" s="533" t="str">
        <f>B61</f>
        <v>Vlissingen</v>
      </c>
      <c r="C124" s="533"/>
      <c r="D124" s="533"/>
      <c r="E124" s="533"/>
      <c r="F124" s="468" t="s">
        <v>600</v>
      </c>
      <c r="G124" s="533" t="str">
        <f>G61</f>
        <v>FLANGE pos 52</v>
      </c>
      <c r="H124" s="533"/>
      <c r="I124" s="533"/>
      <c r="J124" s="534"/>
    </row>
    <row r="125" spans="1:14" ht="12.2" customHeight="1">
      <c r="A125" s="535" t="s">
        <v>982</v>
      </c>
      <c r="B125" s="536" t="str">
        <f>B62</f>
        <v>VES [13]</v>
      </c>
      <c r="C125" s="537"/>
      <c r="D125" s="538"/>
      <c r="E125" s="537"/>
      <c r="F125" s="539" t="s">
        <v>604</v>
      </c>
      <c r="G125" s="538" t="str">
        <f>G62</f>
        <v>0</v>
      </c>
      <c r="H125" s="538"/>
      <c r="I125" s="538"/>
      <c r="J125" s="540"/>
    </row>
    <row r="126" spans="1:14" ht="12.2" customHeight="1">
      <c r="A126" s="541" t="s">
        <v>605</v>
      </c>
      <c r="B126" s="475">
        <f ca="1">B63</f>
        <v>42277.628329629631</v>
      </c>
      <c r="C126" s="476"/>
      <c r="D126" s="542" t="s">
        <v>606</v>
      </c>
      <c r="E126" s="543" t="str">
        <f>E63</f>
        <v>-</v>
      </c>
      <c r="F126" s="479" t="s">
        <v>985</v>
      </c>
      <c r="G126" s="480" t="str">
        <f>G63</f>
        <v>D0701</v>
      </c>
      <c r="H126" s="544" t="s">
        <v>609</v>
      </c>
      <c r="I126" s="545">
        <f>I63+1</f>
        <v>2</v>
      </c>
      <c r="J126" s="546"/>
    </row>
  </sheetData>
  <sheetProtection password="CE28" sheet="1" objects="1" scenarios="1"/>
  <mergeCells count="108">
    <mergeCell ref="H68:I68"/>
    <mergeCell ref="H69:I69"/>
    <mergeCell ref="F66:G66"/>
    <mergeCell ref="F67:G67"/>
    <mergeCell ref="F68:G68"/>
    <mergeCell ref="F69:G69"/>
    <mergeCell ref="F6:G6"/>
    <mergeCell ref="F7:G7"/>
    <mergeCell ref="H6:I6"/>
    <mergeCell ref="H7:I7"/>
    <mergeCell ref="H66:I66"/>
    <mergeCell ref="H67:I67"/>
    <mergeCell ref="H90:I90"/>
    <mergeCell ref="F91:G91"/>
    <mergeCell ref="F89:G89"/>
    <mergeCell ref="H89:I89"/>
    <mergeCell ref="F92:G92"/>
    <mergeCell ref="F86:G86"/>
    <mergeCell ref="F87:G87"/>
    <mergeCell ref="F88:G88"/>
    <mergeCell ref="H84:I84"/>
    <mergeCell ref="H86:I86"/>
    <mergeCell ref="H87:I87"/>
    <mergeCell ref="H88:I88"/>
    <mergeCell ref="F84:G84"/>
    <mergeCell ref="F85:G85"/>
    <mergeCell ref="H85:I85"/>
    <mergeCell ref="H91:I91"/>
    <mergeCell ref="H92:I92"/>
    <mergeCell ref="H93:I93"/>
    <mergeCell ref="H94:I94"/>
    <mergeCell ref="H95:I95"/>
    <mergeCell ref="H96:I96"/>
    <mergeCell ref="H97:I97"/>
    <mergeCell ref="H98:I98"/>
    <mergeCell ref="F99:G99"/>
    <mergeCell ref="F93:G93"/>
    <mergeCell ref="F94:G94"/>
    <mergeCell ref="F95:G95"/>
    <mergeCell ref="F96:G96"/>
    <mergeCell ref="F97:G97"/>
    <mergeCell ref="F98:G98"/>
    <mergeCell ref="H105:I105"/>
    <mergeCell ref="H106:I106"/>
    <mergeCell ref="H107:I107"/>
    <mergeCell ref="H108:I108"/>
    <mergeCell ref="H109:I109"/>
    <mergeCell ref="H110:I110"/>
    <mergeCell ref="H99:I99"/>
    <mergeCell ref="H100:I100"/>
    <mergeCell ref="H101:I101"/>
    <mergeCell ref="H102:I102"/>
    <mergeCell ref="H103:I103"/>
    <mergeCell ref="H104:I104"/>
    <mergeCell ref="H117:I117"/>
    <mergeCell ref="H118:I118"/>
    <mergeCell ref="F107:G107"/>
    <mergeCell ref="F108:G108"/>
    <mergeCell ref="F109:G109"/>
    <mergeCell ref="F110:G110"/>
    <mergeCell ref="F111:G111"/>
    <mergeCell ref="F112:G112"/>
    <mergeCell ref="F113:G113"/>
    <mergeCell ref="F114:G114"/>
    <mergeCell ref="H111:I111"/>
    <mergeCell ref="H112:I112"/>
    <mergeCell ref="H113:I113"/>
    <mergeCell ref="H114:I114"/>
    <mergeCell ref="H115:I115"/>
    <mergeCell ref="H116:I116"/>
    <mergeCell ref="F115:G115"/>
    <mergeCell ref="F116:G116"/>
    <mergeCell ref="F117:G117"/>
    <mergeCell ref="F118:G118"/>
    <mergeCell ref="F75:G75"/>
    <mergeCell ref="F76:G76"/>
    <mergeCell ref="F105:G105"/>
    <mergeCell ref="F106:G106"/>
    <mergeCell ref="F100:G100"/>
    <mergeCell ref="F101:G101"/>
    <mergeCell ref="F102:G102"/>
    <mergeCell ref="F103:G103"/>
    <mergeCell ref="F104:G104"/>
    <mergeCell ref="F90:G90"/>
    <mergeCell ref="H79:I79"/>
    <mergeCell ref="H80:I80"/>
    <mergeCell ref="H81:I81"/>
    <mergeCell ref="H82:I82"/>
    <mergeCell ref="F83:G83"/>
    <mergeCell ref="H71:I71"/>
    <mergeCell ref="H72:I72"/>
    <mergeCell ref="H73:I73"/>
    <mergeCell ref="H74:I74"/>
    <mergeCell ref="H75:I75"/>
    <mergeCell ref="H76:I76"/>
    <mergeCell ref="H77:I77"/>
    <mergeCell ref="H78:I78"/>
    <mergeCell ref="H83:I83"/>
    <mergeCell ref="F77:G77"/>
    <mergeCell ref="F78:G78"/>
    <mergeCell ref="F79:G79"/>
    <mergeCell ref="F80:G80"/>
    <mergeCell ref="F81:G81"/>
    <mergeCell ref="F82:G82"/>
    <mergeCell ref="F71:G71"/>
    <mergeCell ref="F72:G72"/>
    <mergeCell ref="F73:G73"/>
    <mergeCell ref="F74:G74"/>
  </mergeCells>
  <phoneticPr fontId="7" type="noConversion"/>
  <conditionalFormatting sqref="F113:G113">
    <cfRule type="cellIs" dxfId="9" priority="1" stopIfTrue="1" operator="greaterThan">
      <formula>1</formula>
    </cfRule>
  </conditionalFormatting>
  <conditionalFormatting sqref="E115">
    <cfRule type="cellIs" dxfId="8" priority="2" stopIfTrue="1" operator="greaterThan">
      <formula>$E$114</formula>
    </cfRule>
  </conditionalFormatting>
  <conditionalFormatting sqref="F115:G115">
    <cfRule type="cellIs" dxfId="7" priority="3" stopIfTrue="1" operator="greaterThan">
      <formula>$F$114</formula>
    </cfRule>
  </conditionalFormatting>
  <conditionalFormatting sqref="H115:I115">
    <cfRule type="cellIs" dxfId="6" priority="4" stopIfTrue="1" operator="greaterThan">
      <formula>$H$114</formula>
    </cfRule>
  </conditionalFormatting>
  <conditionalFormatting sqref="E118">
    <cfRule type="cellIs" dxfId="5" priority="5" stopIfTrue="1" operator="lessThanOrEqual">
      <formula>$E$117</formula>
    </cfRule>
    <cfRule type="cellIs" dxfId="4" priority="6" stopIfTrue="1" operator="greaterThan">
      <formula>$E$42</formula>
    </cfRule>
  </conditionalFormatting>
  <conditionalFormatting sqref="E104:E106">
    <cfRule type="cellIs" dxfId="3" priority="7" stopIfTrue="1" operator="greaterThan">
      <formula>$E$102</formula>
    </cfRule>
  </conditionalFormatting>
  <conditionalFormatting sqref="F104:G106">
    <cfRule type="cellIs" dxfId="2" priority="8" stopIfTrue="1" operator="greaterThan">
      <formula>$F$102</formula>
    </cfRule>
  </conditionalFormatting>
  <conditionalFormatting sqref="H104:I106">
    <cfRule type="cellIs" dxfId="1" priority="9" stopIfTrue="1" operator="greaterThan">
      <formula>$H$102</formula>
    </cfRule>
  </conditionalFormatting>
  <conditionalFormatting sqref="E117">
    <cfRule type="cellIs" dxfId="0" priority="10" stopIfTrue="1" operator="greaterThan">
      <formula>$E$118</formula>
    </cfRule>
  </conditionalFormatting>
  <printOptions horizontalCentered="1" verticalCentered="1"/>
  <pageMargins left="0" right="0" top="0" bottom="0" header="0" footer="0"/>
  <pageSetup paperSize="9" orientation="portrait" horizontalDpi="4294967292" verticalDpi="300" r:id="rId1"/>
  <headerFooter alignWithMargins="0"/>
  <rowBreaks count="2" manualBreakCount="2">
    <brk id="63" max="16383" man="1"/>
    <brk id="126" max="16383" man="1"/>
  </rowBreaks>
  <colBreaks count="1" manualBreakCount="1">
    <brk id="10"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2289" r:id="rId4" name="Drop Down 1">
              <controlPr defaultSize="0" autoLine="0" autoPict="0">
                <anchor moveWithCells="1">
                  <from>
                    <xdr:col>4</xdr:col>
                    <xdr:colOff>9525</xdr:colOff>
                    <xdr:row>28</xdr:row>
                    <xdr:rowOff>19050</xdr:rowOff>
                  </from>
                  <to>
                    <xdr:col>5</xdr:col>
                    <xdr:colOff>0</xdr:colOff>
                    <xdr:row>28</xdr:row>
                    <xdr:rowOff>219075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J76"/>
  <sheetViews>
    <sheetView workbookViewId="0">
      <selection activeCell="D76" sqref="D76"/>
    </sheetView>
  </sheetViews>
  <sheetFormatPr defaultRowHeight="12.75"/>
  <cols>
    <col min="2" max="2" width="20.42578125" customWidth="1"/>
    <col min="4" max="4" width="11.5703125" bestFit="1" customWidth="1"/>
    <col min="5" max="5" width="11.85546875" customWidth="1"/>
    <col min="6" max="6" width="11.28515625" customWidth="1"/>
  </cols>
  <sheetData>
    <row r="1" spans="1:5" ht="18">
      <c r="B1" s="10" t="s">
        <v>458</v>
      </c>
    </row>
    <row r="3" spans="1:5">
      <c r="B3" s="13" t="s">
        <v>132</v>
      </c>
    </row>
    <row r="4" spans="1:5">
      <c r="B4" t="s">
        <v>86</v>
      </c>
      <c r="C4" t="s">
        <v>98</v>
      </c>
      <c r="D4" s="70">
        <v>0.35</v>
      </c>
      <c r="E4" t="s">
        <v>87</v>
      </c>
    </row>
    <row r="5" spans="1:5">
      <c r="B5" t="s">
        <v>99</v>
      </c>
      <c r="C5" t="s">
        <v>100</v>
      </c>
      <c r="D5" s="70">
        <v>0.64</v>
      </c>
      <c r="E5" t="s">
        <v>87</v>
      </c>
    </row>
    <row r="6" spans="1:5">
      <c r="D6" s="11"/>
    </row>
    <row r="7" spans="1:5">
      <c r="A7" t="s">
        <v>108</v>
      </c>
      <c r="B7" t="s">
        <v>103</v>
      </c>
      <c r="C7" t="s">
        <v>101</v>
      </c>
      <c r="D7" s="11">
        <v>1550</v>
      </c>
      <c r="E7" t="s">
        <v>104</v>
      </c>
    </row>
    <row r="8" spans="1:5">
      <c r="A8" t="s">
        <v>107</v>
      </c>
      <c r="B8" t="s">
        <v>106</v>
      </c>
      <c r="C8" t="s">
        <v>105</v>
      </c>
      <c r="D8" s="11">
        <v>1620</v>
      </c>
      <c r="E8" t="s">
        <v>104</v>
      </c>
    </row>
    <row r="9" spans="1:5">
      <c r="A9" t="s">
        <v>107</v>
      </c>
      <c r="B9" t="s">
        <v>109</v>
      </c>
      <c r="C9" t="s">
        <v>110</v>
      </c>
      <c r="D9" s="11">
        <v>20</v>
      </c>
      <c r="E9" t="s">
        <v>104</v>
      </c>
    </row>
    <row r="10" spans="1:5">
      <c r="A10" t="s">
        <v>107</v>
      </c>
      <c r="B10" t="s">
        <v>118</v>
      </c>
      <c r="C10" t="s">
        <v>114</v>
      </c>
      <c r="D10" s="11">
        <v>1.1000000000000001</v>
      </c>
      <c r="E10" s="12" t="s">
        <v>116</v>
      </c>
    </row>
    <row r="11" spans="1:5">
      <c r="A11" t="s">
        <v>107</v>
      </c>
      <c r="B11" t="s">
        <v>117</v>
      </c>
      <c r="C11" t="s">
        <v>115</v>
      </c>
      <c r="D11" s="11">
        <v>15</v>
      </c>
      <c r="E11" t="s">
        <v>87</v>
      </c>
    </row>
    <row r="12" spans="1:5">
      <c r="B12" t="s">
        <v>474</v>
      </c>
      <c r="C12" t="s">
        <v>473</v>
      </c>
      <c r="D12" s="11">
        <v>500</v>
      </c>
      <c r="E12" t="s">
        <v>87</v>
      </c>
    </row>
    <row r="13" spans="1:5">
      <c r="A13" t="s">
        <v>126</v>
      </c>
      <c r="B13" t="s">
        <v>71</v>
      </c>
      <c r="C13" t="s">
        <v>125</v>
      </c>
      <c r="D13" s="11">
        <v>40</v>
      </c>
      <c r="E13" s="12" t="s">
        <v>116</v>
      </c>
    </row>
    <row r="14" spans="1:5">
      <c r="A14" t="s">
        <v>126</v>
      </c>
      <c r="B14" t="s">
        <v>127</v>
      </c>
      <c r="C14" t="s">
        <v>128</v>
      </c>
      <c r="D14" s="11">
        <v>19.05</v>
      </c>
      <c r="E14" t="s">
        <v>104</v>
      </c>
    </row>
    <row r="15" spans="1:5">
      <c r="A15" t="s">
        <v>126</v>
      </c>
      <c r="B15" t="s">
        <v>130</v>
      </c>
      <c r="C15" t="s">
        <v>129</v>
      </c>
      <c r="D15" s="11">
        <v>725</v>
      </c>
      <c r="E15" t="s">
        <v>87</v>
      </c>
    </row>
    <row r="16" spans="1:5">
      <c r="B16" t="s">
        <v>160</v>
      </c>
      <c r="C16" t="s">
        <v>150</v>
      </c>
      <c r="D16" s="11">
        <v>387</v>
      </c>
    </row>
    <row r="17" spans="2:5">
      <c r="B17" t="s">
        <v>485</v>
      </c>
      <c r="C17" t="s">
        <v>149</v>
      </c>
      <c r="D17" s="11">
        <v>860</v>
      </c>
    </row>
    <row r="18" spans="2:5">
      <c r="B18" t="s">
        <v>133</v>
      </c>
      <c r="C18" t="s">
        <v>135</v>
      </c>
      <c r="D18" s="11">
        <v>19.05</v>
      </c>
      <c r="E18" t="s">
        <v>104</v>
      </c>
    </row>
    <row r="19" spans="2:5">
      <c r="B19" t="s">
        <v>134</v>
      </c>
      <c r="C19" t="s">
        <v>136</v>
      </c>
      <c r="D19" s="11">
        <v>19.05</v>
      </c>
      <c r="E19" t="s">
        <v>104</v>
      </c>
    </row>
    <row r="20" spans="2:5">
      <c r="D20" s="11"/>
    </row>
    <row r="21" spans="2:5">
      <c r="B21" t="s">
        <v>466</v>
      </c>
      <c r="C21" t="s">
        <v>465</v>
      </c>
      <c r="D21" s="11">
        <v>23</v>
      </c>
      <c r="E21" t="s">
        <v>104</v>
      </c>
    </row>
    <row r="22" spans="2:5">
      <c r="B22" t="s">
        <v>478</v>
      </c>
      <c r="C22" t="s">
        <v>477</v>
      </c>
      <c r="D22" s="11">
        <v>1660</v>
      </c>
      <c r="E22" t="s">
        <v>104</v>
      </c>
    </row>
    <row r="23" spans="2:5" s="5" customFormat="1">
      <c r="B23" s="5" t="s">
        <v>480</v>
      </c>
      <c r="C23" s="5" t="s">
        <v>479</v>
      </c>
      <c r="D23" s="21">
        <v>19</v>
      </c>
      <c r="E23" s="5" t="s">
        <v>104</v>
      </c>
    </row>
    <row r="24" spans="2:5" s="18" customFormat="1">
      <c r="D24" s="19"/>
    </row>
    <row r="25" spans="2:5" s="5" customFormat="1">
      <c r="D25" s="21"/>
    </row>
    <row r="26" spans="2:5">
      <c r="B26" s="13" t="s">
        <v>131</v>
      </c>
      <c r="D26" s="11"/>
    </row>
    <row r="28" spans="2:5">
      <c r="B28" t="s">
        <v>487</v>
      </c>
      <c r="C28" t="s">
        <v>102</v>
      </c>
      <c r="D28">
        <f>D8-D9</f>
        <v>1600</v>
      </c>
      <c r="E28" t="s">
        <v>104</v>
      </c>
    </row>
    <row r="29" spans="2:5">
      <c r="C29" t="s">
        <v>139</v>
      </c>
      <c r="D29" s="14">
        <f>1350/SQRT(D14)</f>
        <v>309.30452848056183</v>
      </c>
      <c r="E29" t="s">
        <v>87</v>
      </c>
    </row>
    <row r="30" spans="2:5">
      <c r="C30" t="s">
        <v>137</v>
      </c>
      <c r="D30" s="14">
        <f>PI()/4*D18^2</f>
        <v>285.02295699234247</v>
      </c>
      <c r="E30" t="s">
        <v>92</v>
      </c>
    </row>
    <row r="31" spans="2:5">
      <c r="C31" t="s">
        <v>138</v>
      </c>
      <c r="D31" s="14">
        <f>PI()/4*D19^2</f>
        <v>285.02295699234247</v>
      </c>
      <c r="E31" t="s">
        <v>92</v>
      </c>
    </row>
    <row r="35" spans="2:10">
      <c r="D35" t="s">
        <v>84</v>
      </c>
      <c r="E35" t="s">
        <v>93</v>
      </c>
      <c r="F35" t="s">
        <v>94</v>
      </c>
    </row>
    <row r="37" spans="2:10">
      <c r="B37" t="s">
        <v>111</v>
      </c>
      <c r="C37" t="s">
        <v>95</v>
      </c>
      <c r="D37">
        <v>0</v>
      </c>
      <c r="E37" s="9">
        <f>PI()/4*D7^2*D5</f>
        <v>1207628.2160399165</v>
      </c>
      <c r="F37" s="9">
        <f>PI()/4*D7^2*D4</f>
        <v>660421.68064682931</v>
      </c>
      <c r="G37" t="s">
        <v>91</v>
      </c>
    </row>
    <row r="38" spans="2:10">
      <c r="B38" t="s">
        <v>112</v>
      </c>
      <c r="C38" t="s">
        <v>96</v>
      </c>
      <c r="D38">
        <v>0</v>
      </c>
      <c r="E38" s="9">
        <f>PI()/4*(D28^2-D7^2)*D5</f>
        <v>79168.134870462789</v>
      </c>
      <c r="F38" s="9">
        <f>PI()/4*(D28^2-D7^2)*D4</f>
        <v>43295.073757284335</v>
      </c>
      <c r="G38" t="s">
        <v>91</v>
      </c>
    </row>
    <row r="39" spans="2:10">
      <c r="B39" t="s">
        <v>113</v>
      </c>
      <c r="C39" t="s">
        <v>97</v>
      </c>
      <c r="D39" s="9">
        <f>MAX(D44:D46)</f>
        <v>1507964.4737231007</v>
      </c>
      <c r="E39" s="9">
        <f>PI()*D28*D10*D9*D5</f>
        <v>70773.799300070867</v>
      </c>
      <c r="F39" s="9">
        <f>1.2*PI()*D28*D10*D9*D4</f>
        <v>46445.305790671504</v>
      </c>
      <c r="G39" t="s">
        <v>91</v>
      </c>
      <c r="J39" t="s">
        <v>486</v>
      </c>
    </row>
    <row r="40" spans="2:10">
      <c r="D40" s="9"/>
      <c r="E40" s="9"/>
      <c r="F40" s="9"/>
    </row>
    <row r="41" spans="2:10">
      <c r="B41" t="s">
        <v>145</v>
      </c>
      <c r="C41" t="s">
        <v>146</v>
      </c>
      <c r="D41" s="17">
        <f>SUM(D37:D39)/($D$13*$D$31)</f>
        <v>132.26693120052909</v>
      </c>
      <c r="E41" s="17">
        <f>SUM(E37:E39)/($D$13*$D$31)</f>
        <v>119.07550926212964</v>
      </c>
      <c r="F41" s="17">
        <f>SUM(F37:F39)/($D$13*$D$31)</f>
        <v>65.798389374556521</v>
      </c>
      <c r="G41" t="s">
        <v>87</v>
      </c>
    </row>
    <row r="42" spans="2:10">
      <c r="B42" t="s">
        <v>147</v>
      </c>
      <c r="C42" t="s">
        <v>148</v>
      </c>
      <c r="D42" s="16">
        <f>MIN(0.79*D15,0.59*D17)</f>
        <v>507.4</v>
      </c>
      <c r="E42" s="16">
        <f>MIN(0.72*D15,0.54*D17)</f>
        <v>464.40000000000003</v>
      </c>
      <c r="F42" s="16">
        <f>MIN(0.63*D16,0.47*D17)</f>
        <v>243.81</v>
      </c>
      <c r="G42" t="s">
        <v>87</v>
      </c>
    </row>
    <row r="44" spans="2:10">
      <c r="C44" t="s">
        <v>119</v>
      </c>
      <c r="D44" s="9">
        <f>PI()*D11*D9*D28</f>
        <v>1507964.4737231007</v>
      </c>
      <c r="E44" t="s">
        <v>91</v>
      </c>
    </row>
    <row r="45" spans="2:10">
      <c r="C45" t="s">
        <v>120</v>
      </c>
      <c r="D45" s="9">
        <f>1.1*(E37+E38+E39)</f>
        <v>1493327.1652314954</v>
      </c>
      <c r="E45" t="s">
        <v>91</v>
      </c>
    </row>
    <row r="46" spans="2:10">
      <c r="C46" t="s">
        <v>121</v>
      </c>
      <c r="D46" s="9">
        <f>1.2*(F37+F38+F39)</f>
        <v>900194.47223374213</v>
      </c>
      <c r="E46" t="s">
        <v>91</v>
      </c>
    </row>
    <row r="48" spans="2:10">
      <c r="C48" t="s">
        <v>122</v>
      </c>
      <c r="D48" s="9">
        <f>0.9*D13*D31*D15</f>
        <v>7439099.177500139</v>
      </c>
      <c r="E48" t="s">
        <v>91</v>
      </c>
    </row>
    <row r="49" spans="2:6">
      <c r="C49" t="s">
        <v>123</v>
      </c>
      <c r="D49" s="9">
        <f>0.77*D13*D30*D15</f>
        <v>6364562.6296390081</v>
      </c>
      <c r="E49" t="s">
        <v>91</v>
      </c>
    </row>
    <row r="50" spans="2:6">
      <c r="C50" t="s">
        <v>124</v>
      </c>
      <c r="D50" s="9">
        <f>D13*D30*D29</f>
        <v>3526355.6527460776</v>
      </c>
      <c r="E50" t="s">
        <v>91</v>
      </c>
    </row>
    <row r="51" spans="2:6">
      <c r="B51" t="s">
        <v>144</v>
      </c>
      <c r="C51" t="s">
        <v>140</v>
      </c>
      <c r="D51" s="9">
        <f>MIN(D48:D49)</f>
        <v>6364562.6296390081</v>
      </c>
      <c r="E51" t="s">
        <v>91</v>
      </c>
    </row>
    <row r="52" spans="2:6">
      <c r="B52" t="s">
        <v>484</v>
      </c>
      <c r="C52" t="s">
        <v>141</v>
      </c>
      <c r="D52" s="15">
        <f>D39</f>
        <v>1507964.4737231007</v>
      </c>
      <c r="E52" t="s">
        <v>91</v>
      </c>
      <c r="F52" t="s">
        <v>142</v>
      </c>
    </row>
    <row r="53" spans="2:6">
      <c r="D53" s="15">
        <f>D50</f>
        <v>3526355.6527460776</v>
      </c>
      <c r="E53" t="s">
        <v>91</v>
      </c>
      <c r="F53" t="s">
        <v>143</v>
      </c>
    </row>
    <row r="54" spans="2:6">
      <c r="D54" s="9">
        <f>D51</f>
        <v>6364562.6296390081</v>
      </c>
      <c r="E54" t="s">
        <v>91</v>
      </c>
      <c r="F54" t="s">
        <v>464</v>
      </c>
    </row>
    <row r="57" spans="2:6">
      <c r="B57" t="s">
        <v>468</v>
      </c>
      <c r="C57" t="s">
        <v>467</v>
      </c>
      <c r="D57" s="14">
        <f>MAX($D$21*(1-$D$7/1000),0.5*$D$21)</f>
        <v>11.5</v>
      </c>
      <c r="E57" t="s">
        <v>104</v>
      </c>
      <c r="F57" s="14"/>
    </row>
    <row r="59" spans="2:6">
      <c r="B59" s="13" t="s">
        <v>470</v>
      </c>
    </row>
    <row r="60" spans="2:6">
      <c r="C60" t="s">
        <v>469</v>
      </c>
      <c r="D60" s="14">
        <f>D39/(PI()*D28*D9)</f>
        <v>15</v>
      </c>
      <c r="E60" t="s">
        <v>87</v>
      </c>
    </row>
    <row r="61" spans="2:6">
      <c r="B61" t="s">
        <v>475</v>
      </c>
      <c r="C61" t="s">
        <v>471</v>
      </c>
      <c r="D61" s="14">
        <f>D54/(PI()*D28*D9)</f>
        <v>63.309475195312501</v>
      </c>
      <c r="E61" t="s">
        <v>87</v>
      </c>
    </row>
    <row r="62" spans="2:6">
      <c r="C62" t="s">
        <v>472</v>
      </c>
      <c r="D62" s="14">
        <f>D12</f>
        <v>500</v>
      </c>
      <c r="E62" t="s">
        <v>87</v>
      </c>
    </row>
    <row r="68" spans="2:7">
      <c r="D68" t="s">
        <v>84</v>
      </c>
      <c r="E68" t="s">
        <v>93</v>
      </c>
      <c r="F68" t="s">
        <v>94</v>
      </c>
    </row>
    <row r="70" spans="2:7">
      <c r="B70" t="s">
        <v>483</v>
      </c>
      <c r="C70" t="s">
        <v>482</v>
      </c>
      <c r="D70">
        <f>(D37*(D22-D7-D23)+D38*(D22-0.5*(D7+D28))+D39*(D22-D28))*0.25*PI()</f>
        <v>71061151.687843367</v>
      </c>
      <c r="G70" t="s">
        <v>202</v>
      </c>
    </row>
    <row r="72" spans="2:7">
      <c r="B72" t="s">
        <v>481</v>
      </c>
      <c r="C72" t="s">
        <v>476</v>
      </c>
      <c r="D72" s="9">
        <f>SUM(D37:D39)*(0.5*($D$22-$D$7)-$D$23)</f>
        <v>54286721.054031625</v>
      </c>
      <c r="E72" s="9">
        <f>SUM(E37:E39)*(0.5*($D$22-$D$7)-$D$23)</f>
        <v>48872525.407576203</v>
      </c>
      <c r="F72" s="9">
        <f>SUM(F37:F39)*(0.5*($D$22-$D$7)-$D$23)</f>
        <v>27005834.167012263</v>
      </c>
      <c r="G72" t="s">
        <v>202</v>
      </c>
    </row>
    <row r="75" spans="2:7">
      <c r="C75" t="s">
        <v>1090</v>
      </c>
    </row>
    <row r="76" spans="2:7">
      <c r="C76" t="s">
        <v>1031</v>
      </c>
    </row>
  </sheetData>
  <phoneticPr fontId="7" type="noConversion"/>
  <pageMargins left="0.75" right="0.75" top="1" bottom="1" header="0.5" footer="0.5"/>
  <pageSetup paperSize="9" scale="68" orientation="portrait" horizontalDpi="1200" verticalDpi="1200"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M64"/>
  <sheetViews>
    <sheetView topLeftCell="A40" workbookViewId="0">
      <selection activeCell="I61" sqref="I61"/>
    </sheetView>
  </sheetViews>
  <sheetFormatPr defaultRowHeight="12.75"/>
  <cols>
    <col min="3" max="3" width="50" customWidth="1"/>
  </cols>
  <sheetData>
    <row r="2" spans="2:13" ht="18">
      <c r="B2" s="5"/>
      <c r="C2" s="52" t="s">
        <v>456</v>
      </c>
      <c r="D2" s="5"/>
      <c r="E2" s="5"/>
      <c r="F2" s="5"/>
      <c r="G2" s="5"/>
      <c r="H2" s="5"/>
      <c r="I2" s="5"/>
      <c r="J2" s="5"/>
      <c r="K2" s="5"/>
      <c r="L2" s="5"/>
      <c r="M2" s="5"/>
    </row>
    <row r="3" spans="2:13">
      <c r="B3" s="5"/>
      <c r="C3" s="5" t="s">
        <v>457</v>
      </c>
      <c r="D3" s="5"/>
      <c r="E3" s="5"/>
      <c r="F3" s="5"/>
      <c r="G3" s="5"/>
      <c r="H3" s="5"/>
      <c r="I3" s="5"/>
      <c r="J3" s="5"/>
      <c r="K3" s="5"/>
      <c r="L3" s="5"/>
      <c r="M3" s="5"/>
    </row>
    <row r="4" spans="2:13">
      <c r="B4" s="5"/>
      <c r="C4" s="5" t="s">
        <v>364</v>
      </c>
      <c r="D4" s="5"/>
      <c r="E4" s="5"/>
      <c r="F4" s="5"/>
      <c r="G4" s="5"/>
      <c r="H4" s="5"/>
      <c r="I4" s="5"/>
      <c r="J4" s="5"/>
      <c r="K4" s="5"/>
      <c r="L4" s="5"/>
      <c r="M4" s="5"/>
    </row>
    <row r="5" spans="2:13" ht="15">
      <c r="B5" s="45"/>
      <c r="C5" s="45" t="s">
        <v>341</v>
      </c>
      <c r="D5" s="47" t="s">
        <v>84</v>
      </c>
      <c r="E5" s="47" t="s">
        <v>85</v>
      </c>
      <c r="F5" s="5"/>
      <c r="G5" s="5" t="s">
        <v>85</v>
      </c>
      <c r="H5" s="5"/>
      <c r="I5" s="5"/>
      <c r="J5" s="5"/>
      <c r="K5" s="5"/>
      <c r="L5" s="5"/>
      <c r="M5" s="5"/>
    </row>
    <row r="6" spans="2:13" ht="15">
      <c r="B6" s="45"/>
      <c r="C6" s="45"/>
      <c r="D6" s="48" t="s">
        <v>116</v>
      </c>
      <c r="E6" s="45" t="s">
        <v>87</v>
      </c>
      <c r="F6" s="5"/>
      <c r="G6" s="5" t="s">
        <v>352</v>
      </c>
      <c r="H6" s="5"/>
      <c r="I6" s="5"/>
      <c r="J6" s="5"/>
      <c r="K6" s="5"/>
      <c r="L6" s="5"/>
      <c r="M6" s="5"/>
    </row>
    <row r="7" spans="2:13" ht="15">
      <c r="B7" s="45"/>
      <c r="C7" s="53"/>
      <c r="D7" s="53"/>
      <c r="E7" s="53"/>
      <c r="F7" s="18"/>
      <c r="G7" s="5"/>
      <c r="H7" s="5"/>
      <c r="I7" s="5"/>
      <c r="J7" s="5"/>
      <c r="K7" s="5"/>
      <c r="L7" s="5"/>
      <c r="M7" s="5"/>
    </row>
    <row r="8" spans="2:13" ht="15">
      <c r="B8" s="45">
        <v>1</v>
      </c>
      <c r="C8" s="45" t="s">
        <v>345</v>
      </c>
      <c r="D8" s="54">
        <v>0.5</v>
      </c>
      <c r="E8" s="55">
        <v>0</v>
      </c>
      <c r="F8" s="5"/>
      <c r="G8" s="46">
        <f>145.0377*E8</f>
        <v>0</v>
      </c>
      <c r="H8" s="5"/>
      <c r="I8" s="5"/>
      <c r="J8" s="5"/>
      <c r="K8" s="5"/>
      <c r="L8" s="5"/>
      <c r="M8" s="5"/>
    </row>
    <row r="9" spans="2:13" ht="15">
      <c r="B9" s="45">
        <v>2</v>
      </c>
      <c r="C9" s="53" t="s">
        <v>346</v>
      </c>
      <c r="D9" s="56">
        <v>1</v>
      </c>
      <c r="E9" s="57">
        <v>1.4</v>
      </c>
      <c r="F9" s="18"/>
      <c r="G9" s="46">
        <f t="shared" ref="G9:G55" si="0">145.0377*E9</f>
        <v>203.05277999999998</v>
      </c>
      <c r="H9" s="5"/>
      <c r="I9" s="5"/>
      <c r="J9" s="5"/>
      <c r="K9" s="5"/>
      <c r="L9" s="5"/>
      <c r="M9" s="5"/>
    </row>
    <row r="10" spans="2:13" ht="15">
      <c r="B10" s="45">
        <v>3</v>
      </c>
      <c r="C10" s="45" t="s">
        <v>342</v>
      </c>
      <c r="D10" s="54">
        <v>2</v>
      </c>
      <c r="E10" s="55">
        <v>11</v>
      </c>
      <c r="F10" s="5"/>
      <c r="G10" s="46">
        <f t="shared" si="0"/>
        <v>1595.4147</v>
      </c>
      <c r="H10" s="5"/>
      <c r="I10" s="5"/>
      <c r="J10" s="5"/>
      <c r="K10" s="5"/>
      <c r="L10" s="5"/>
      <c r="M10" s="5"/>
    </row>
    <row r="11" spans="2:13" ht="15">
      <c r="B11" s="45">
        <v>4</v>
      </c>
      <c r="C11" s="45" t="s">
        <v>343</v>
      </c>
      <c r="D11" s="54">
        <v>2.75</v>
      </c>
      <c r="E11" s="55">
        <v>25.5</v>
      </c>
      <c r="F11" s="5"/>
      <c r="G11" s="46">
        <f t="shared" si="0"/>
        <v>3698.46135</v>
      </c>
      <c r="H11" s="5"/>
      <c r="I11" s="5"/>
      <c r="J11" s="5"/>
      <c r="K11" s="5"/>
      <c r="L11" s="5"/>
      <c r="M11" s="5"/>
    </row>
    <row r="12" spans="2:13" ht="15">
      <c r="B12" s="45">
        <v>5</v>
      </c>
      <c r="C12" s="53" t="s">
        <v>344</v>
      </c>
      <c r="D12" s="56">
        <v>3.5</v>
      </c>
      <c r="E12" s="57">
        <v>44.8</v>
      </c>
      <c r="F12" s="18"/>
      <c r="G12" s="46">
        <f t="shared" si="0"/>
        <v>6497.6889599999995</v>
      </c>
      <c r="H12" s="5"/>
      <c r="I12" s="5"/>
      <c r="J12" s="5"/>
      <c r="K12" s="5"/>
      <c r="L12" s="5"/>
      <c r="M12" s="5"/>
    </row>
    <row r="13" spans="2:13" ht="15">
      <c r="B13" s="45">
        <v>6</v>
      </c>
      <c r="C13" s="45" t="s">
        <v>347</v>
      </c>
      <c r="D13" s="54">
        <v>1.25</v>
      </c>
      <c r="E13" s="55">
        <v>2.8</v>
      </c>
      <c r="F13" s="5"/>
      <c r="G13" s="46">
        <f t="shared" si="0"/>
        <v>406.10555999999997</v>
      </c>
      <c r="H13" s="5"/>
      <c r="I13" s="5"/>
      <c r="J13" s="5"/>
      <c r="K13" s="5"/>
      <c r="L13" s="5"/>
      <c r="M13" s="5"/>
    </row>
    <row r="14" spans="2:13" ht="15">
      <c r="B14" s="45">
        <v>7</v>
      </c>
      <c r="C14" s="45" t="s">
        <v>348</v>
      </c>
      <c r="D14" s="54">
        <v>2.25</v>
      </c>
      <c r="E14" s="55">
        <v>15.2</v>
      </c>
      <c r="F14" s="5"/>
      <c r="G14" s="46">
        <f t="shared" si="0"/>
        <v>2204.5730399999998</v>
      </c>
      <c r="H14" s="5"/>
      <c r="I14" s="5"/>
      <c r="J14" s="5"/>
      <c r="K14" s="5"/>
      <c r="L14" s="5"/>
      <c r="M14" s="5"/>
    </row>
    <row r="15" spans="2:13" ht="15">
      <c r="B15" s="45">
        <v>8</v>
      </c>
      <c r="C15" s="45" t="s">
        <v>349</v>
      </c>
      <c r="D15" s="54">
        <v>2.5</v>
      </c>
      <c r="E15" s="55">
        <v>20</v>
      </c>
      <c r="F15" s="5"/>
      <c r="G15" s="46">
        <f t="shared" si="0"/>
        <v>2900.7539999999999</v>
      </c>
      <c r="H15" s="5"/>
      <c r="I15" s="5"/>
      <c r="J15" s="5"/>
      <c r="K15" s="5"/>
      <c r="L15" s="5"/>
      <c r="M15" s="5"/>
    </row>
    <row r="16" spans="2:13" ht="15">
      <c r="B16" s="45">
        <v>9</v>
      </c>
      <c r="C16" s="53" t="s">
        <v>350</v>
      </c>
      <c r="D16" s="56">
        <v>2.75</v>
      </c>
      <c r="E16" s="57">
        <v>25.5</v>
      </c>
      <c r="F16" s="18"/>
      <c r="G16" s="46">
        <f t="shared" si="0"/>
        <v>3698.46135</v>
      </c>
      <c r="H16" s="5"/>
      <c r="I16" s="5"/>
      <c r="J16" s="5"/>
      <c r="K16" s="5"/>
      <c r="L16" s="5"/>
      <c r="M16" s="5"/>
    </row>
    <row r="17" spans="2:13" ht="15">
      <c r="B17" s="45">
        <v>10</v>
      </c>
      <c r="C17" s="65" t="s">
        <v>351</v>
      </c>
      <c r="D17" s="66">
        <v>1.75</v>
      </c>
      <c r="E17" s="67">
        <v>7.6</v>
      </c>
      <c r="F17" s="68"/>
      <c r="G17" s="46">
        <f t="shared" si="0"/>
        <v>1102.2865199999999</v>
      </c>
      <c r="H17" s="5"/>
      <c r="I17" s="5"/>
      <c r="J17" s="5"/>
      <c r="K17" s="5"/>
      <c r="L17" s="5"/>
      <c r="M17" s="5"/>
    </row>
    <row r="18" spans="2:13" ht="15">
      <c r="B18" s="45">
        <v>11</v>
      </c>
      <c r="C18" s="45" t="s">
        <v>762</v>
      </c>
      <c r="D18" s="54">
        <v>2.5</v>
      </c>
      <c r="E18" s="55">
        <v>69</v>
      </c>
      <c r="F18" s="5"/>
      <c r="G18" s="46">
        <f t="shared" si="0"/>
        <v>10007.6013</v>
      </c>
      <c r="H18" s="5"/>
      <c r="I18" s="5"/>
      <c r="J18" s="5"/>
      <c r="K18" s="5"/>
      <c r="L18" s="5"/>
      <c r="M18" s="5"/>
    </row>
    <row r="19" spans="2:13" ht="15">
      <c r="B19" s="45">
        <v>12</v>
      </c>
      <c r="C19" s="53" t="s">
        <v>353</v>
      </c>
      <c r="D19" s="56">
        <v>3</v>
      </c>
      <c r="E19" s="57">
        <v>69</v>
      </c>
      <c r="F19" s="18"/>
      <c r="G19" s="46">
        <f t="shared" si="0"/>
        <v>10007.6013</v>
      </c>
      <c r="H19" s="5"/>
      <c r="I19" s="5"/>
      <c r="J19" s="5"/>
      <c r="K19" s="5"/>
      <c r="L19" s="5"/>
      <c r="M19" s="5"/>
    </row>
    <row r="20" spans="2:13" ht="15">
      <c r="B20" s="45">
        <v>13</v>
      </c>
      <c r="C20" s="45" t="s">
        <v>354</v>
      </c>
      <c r="D20" s="54">
        <v>2.5</v>
      </c>
      <c r="E20" s="55">
        <v>20</v>
      </c>
      <c r="F20" s="5"/>
      <c r="G20" s="58">
        <f t="shared" si="0"/>
        <v>2900.7539999999999</v>
      </c>
      <c r="H20" s="5"/>
      <c r="I20" s="5"/>
      <c r="J20" s="5"/>
      <c r="K20" s="5"/>
      <c r="L20" s="5"/>
      <c r="M20" s="5"/>
    </row>
    <row r="21" spans="2:13" ht="15">
      <c r="B21" s="45">
        <v>14</v>
      </c>
      <c r="C21" s="45" t="s">
        <v>355</v>
      </c>
      <c r="D21" s="54">
        <v>2.75</v>
      </c>
      <c r="E21" s="55">
        <v>25.5</v>
      </c>
      <c r="F21" s="5"/>
      <c r="G21" s="58">
        <f t="shared" si="0"/>
        <v>3698.46135</v>
      </c>
      <c r="H21" s="5"/>
      <c r="I21" s="5"/>
      <c r="J21" s="5"/>
      <c r="K21" s="5"/>
      <c r="L21" s="5"/>
      <c r="M21" s="5"/>
    </row>
    <row r="22" spans="2:13" ht="15">
      <c r="B22" s="45">
        <v>15</v>
      </c>
      <c r="C22" s="45" t="s">
        <v>356</v>
      </c>
      <c r="D22" s="54">
        <v>3</v>
      </c>
      <c r="E22" s="55">
        <v>31</v>
      </c>
      <c r="F22" s="5"/>
      <c r="G22" s="58">
        <f t="shared" si="0"/>
        <v>4496.1687000000002</v>
      </c>
      <c r="H22" s="5"/>
      <c r="I22" s="5"/>
      <c r="J22" s="5"/>
      <c r="K22" s="5"/>
      <c r="L22" s="5"/>
      <c r="M22" s="5"/>
    </row>
    <row r="23" spans="2:13" ht="15">
      <c r="B23" s="45">
        <v>16</v>
      </c>
      <c r="C23" s="45" t="s">
        <v>362</v>
      </c>
      <c r="D23" s="54">
        <v>3.25</v>
      </c>
      <c r="E23" s="55">
        <v>37.9</v>
      </c>
      <c r="F23" s="5"/>
      <c r="G23" s="58">
        <f t="shared" si="0"/>
        <v>5496.9288299999998</v>
      </c>
      <c r="H23" s="5"/>
      <c r="I23" s="5"/>
      <c r="J23" s="5"/>
      <c r="K23" s="5"/>
      <c r="L23" s="5"/>
      <c r="M23" s="5"/>
    </row>
    <row r="24" spans="2:13" ht="15">
      <c r="B24" s="45">
        <v>17</v>
      </c>
      <c r="C24" s="45" t="s">
        <v>358</v>
      </c>
      <c r="D24" s="54">
        <v>3.5</v>
      </c>
      <c r="E24" s="55">
        <v>44.8</v>
      </c>
      <c r="F24" s="5"/>
      <c r="G24" s="58">
        <f t="shared" si="0"/>
        <v>6497.6889599999995</v>
      </c>
      <c r="H24" s="5"/>
      <c r="I24" s="5"/>
      <c r="J24" s="5"/>
      <c r="K24" s="5"/>
      <c r="L24" s="5"/>
      <c r="M24" s="5"/>
    </row>
    <row r="25" spans="2:13" ht="15">
      <c r="B25" s="45">
        <v>18</v>
      </c>
      <c r="C25" s="45" t="s">
        <v>357</v>
      </c>
      <c r="D25" s="54">
        <v>2.75</v>
      </c>
      <c r="E25" s="55">
        <v>25.5</v>
      </c>
      <c r="F25" s="5"/>
      <c r="G25" s="58">
        <f t="shared" si="0"/>
        <v>3698.46135</v>
      </c>
      <c r="H25" s="5"/>
      <c r="I25" s="5"/>
      <c r="J25" s="5"/>
      <c r="K25" s="5"/>
      <c r="L25" s="5"/>
      <c r="M25" s="5"/>
    </row>
    <row r="26" spans="2:13" ht="15">
      <c r="B26" s="45">
        <v>19</v>
      </c>
      <c r="C26" s="45" t="s">
        <v>359</v>
      </c>
      <c r="D26" s="54">
        <v>3</v>
      </c>
      <c r="E26" s="55">
        <v>31</v>
      </c>
      <c r="F26" s="5"/>
      <c r="G26" s="58">
        <f t="shared" si="0"/>
        <v>4496.1687000000002</v>
      </c>
      <c r="H26" s="5"/>
      <c r="I26" s="5"/>
      <c r="J26" s="5"/>
      <c r="K26" s="5"/>
      <c r="L26" s="5"/>
      <c r="M26" s="5"/>
    </row>
    <row r="27" spans="2:13" ht="15">
      <c r="B27" s="45">
        <v>20</v>
      </c>
      <c r="C27" s="45" t="s">
        <v>360</v>
      </c>
      <c r="D27" s="54">
        <v>3.25</v>
      </c>
      <c r="E27" s="55">
        <v>37.9</v>
      </c>
      <c r="F27" s="5"/>
      <c r="G27" s="58">
        <f t="shared" si="0"/>
        <v>5496.9288299999998</v>
      </c>
      <c r="H27" s="5"/>
      <c r="I27" s="5"/>
      <c r="J27" s="5"/>
      <c r="K27" s="5"/>
      <c r="L27" s="5"/>
      <c r="M27" s="5"/>
    </row>
    <row r="28" spans="2:13" ht="15">
      <c r="B28" s="45">
        <v>21</v>
      </c>
      <c r="C28" s="45" t="s">
        <v>361</v>
      </c>
      <c r="D28" s="54">
        <v>3.5</v>
      </c>
      <c r="E28" s="55">
        <v>44.8</v>
      </c>
      <c r="F28" s="5"/>
      <c r="G28" s="58">
        <f t="shared" si="0"/>
        <v>6497.6889599999995</v>
      </c>
      <c r="H28" s="5"/>
      <c r="I28" s="5"/>
      <c r="J28" s="5"/>
      <c r="K28" s="5"/>
      <c r="L28" s="5"/>
      <c r="M28" s="5"/>
    </row>
    <row r="29" spans="2:13" ht="15">
      <c r="B29" s="45">
        <v>22</v>
      </c>
      <c r="C29" s="53" t="s">
        <v>363</v>
      </c>
      <c r="D29" s="56">
        <v>3.75</v>
      </c>
      <c r="E29" s="57">
        <v>52.4</v>
      </c>
      <c r="F29" s="18"/>
      <c r="G29" s="58">
        <f t="shared" si="0"/>
        <v>7599.9754800000001</v>
      </c>
      <c r="H29" s="5"/>
      <c r="I29" s="5"/>
      <c r="J29" s="5"/>
      <c r="K29" s="5"/>
      <c r="L29" s="5"/>
      <c r="M29" s="5"/>
    </row>
    <row r="30" spans="2:13" ht="15">
      <c r="B30" s="45">
        <v>23</v>
      </c>
      <c r="C30" s="59" t="s">
        <v>365</v>
      </c>
      <c r="D30" s="54">
        <v>3.25</v>
      </c>
      <c r="E30" s="55">
        <v>37.9</v>
      </c>
      <c r="F30" s="5"/>
      <c r="G30" s="58">
        <f t="shared" si="0"/>
        <v>5496.9288299999998</v>
      </c>
      <c r="H30" s="5"/>
      <c r="I30" s="5"/>
      <c r="J30" s="5"/>
      <c r="K30" s="5"/>
      <c r="L30" s="5"/>
      <c r="M30" s="5"/>
    </row>
    <row r="31" spans="2:13" ht="15">
      <c r="B31" s="45">
        <v>24</v>
      </c>
      <c r="C31" s="59" t="s">
        <v>366</v>
      </c>
      <c r="D31" s="54">
        <v>3.5</v>
      </c>
      <c r="E31" s="55">
        <v>44.8</v>
      </c>
      <c r="F31" s="5"/>
      <c r="G31" s="58">
        <f t="shared" si="0"/>
        <v>6497.6889599999995</v>
      </c>
      <c r="H31" s="5"/>
      <c r="I31" s="5"/>
      <c r="J31" s="5"/>
      <c r="K31" s="5"/>
      <c r="L31" s="5"/>
      <c r="M31" s="5"/>
    </row>
    <row r="32" spans="2:13" ht="15">
      <c r="B32" s="45">
        <v>25</v>
      </c>
      <c r="C32" s="59" t="s">
        <v>367</v>
      </c>
      <c r="D32" s="50">
        <v>3.75</v>
      </c>
      <c r="E32" s="49">
        <v>52.4</v>
      </c>
      <c r="F32" s="5"/>
      <c r="G32" s="58">
        <f t="shared" si="0"/>
        <v>7599.9754800000001</v>
      </c>
      <c r="H32" s="5"/>
      <c r="I32" s="5"/>
      <c r="J32" s="5"/>
      <c r="K32" s="5"/>
      <c r="L32" s="5"/>
      <c r="M32" s="5"/>
    </row>
    <row r="33" spans="2:13" ht="15">
      <c r="B33" s="45">
        <v>26</v>
      </c>
      <c r="C33" s="59" t="s">
        <v>368</v>
      </c>
      <c r="D33" s="50">
        <v>3.5</v>
      </c>
      <c r="E33" s="49">
        <v>55.1</v>
      </c>
      <c r="F33" s="5"/>
      <c r="G33" s="58">
        <f t="shared" si="0"/>
        <v>7991.5772700000007</v>
      </c>
      <c r="H33" s="5"/>
      <c r="I33" s="5"/>
      <c r="J33" s="5"/>
      <c r="K33" s="5"/>
      <c r="L33" s="5"/>
      <c r="M33" s="5"/>
    </row>
    <row r="34" spans="2:13" ht="15">
      <c r="B34" s="45">
        <v>27</v>
      </c>
      <c r="C34" s="59" t="s">
        <v>369</v>
      </c>
      <c r="D34" s="51">
        <v>3.75</v>
      </c>
      <c r="E34" s="49">
        <v>62</v>
      </c>
      <c r="F34" s="5"/>
      <c r="G34" s="58">
        <f t="shared" si="0"/>
        <v>8992.3374000000003</v>
      </c>
      <c r="H34" s="5"/>
      <c r="I34" s="5"/>
      <c r="J34" s="5"/>
      <c r="K34" s="5"/>
      <c r="L34" s="5"/>
      <c r="M34" s="5"/>
    </row>
    <row r="35" spans="2:13" ht="15">
      <c r="B35" s="45">
        <v>28</v>
      </c>
      <c r="C35" s="61" t="s">
        <v>370</v>
      </c>
      <c r="D35" s="62">
        <v>3.75</v>
      </c>
      <c r="E35" s="63">
        <v>62</v>
      </c>
      <c r="F35" s="18"/>
      <c r="G35" s="58">
        <f t="shared" si="0"/>
        <v>8992.3374000000003</v>
      </c>
      <c r="H35" s="5"/>
      <c r="I35" s="5"/>
      <c r="J35" s="5"/>
      <c r="K35" s="5"/>
      <c r="L35" s="5"/>
      <c r="M35" s="5"/>
    </row>
    <row r="36" spans="2:13" ht="15">
      <c r="B36" s="45">
        <v>29</v>
      </c>
      <c r="C36" s="59" t="s">
        <v>371</v>
      </c>
      <c r="D36" s="60">
        <v>3.25</v>
      </c>
      <c r="E36" s="64">
        <v>37.9</v>
      </c>
      <c r="G36" s="58">
        <f t="shared" si="0"/>
        <v>5496.9288299999998</v>
      </c>
    </row>
    <row r="37" spans="2:13" ht="15">
      <c r="B37" s="45">
        <v>30</v>
      </c>
      <c r="C37" s="59" t="s">
        <v>372</v>
      </c>
      <c r="D37" s="60">
        <v>3.5</v>
      </c>
      <c r="E37" s="64">
        <v>44.8</v>
      </c>
      <c r="G37" s="58">
        <f t="shared" si="0"/>
        <v>6497.6889599999995</v>
      </c>
    </row>
    <row r="38" spans="2:13" ht="15">
      <c r="B38" s="45">
        <v>31</v>
      </c>
      <c r="C38" s="59" t="s">
        <v>373</v>
      </c>
      <c r="D38" s="60">
        <v>3.75</v>
      </c>
      <c r="E38" s="64">
        <v>52.4</v>
      </c>
      <c r="G38" s="58">
        <f t="shared" si="0"/>
        <v>7599.9754800000001</v>
      </c>
    </row>
    <row r="39" spans="2:13" ht="15">
      <c r="B39" s="45">
        <v>32</v>
      </c>
      <c r="C39" s="59" t="s">
        <v>374</v>
      </c>
      <c r="D39" s="60">
        <v>3.75</v>
      </c>
      <c r="E39" s="64">
        <v>62</v>
      </c>
      <c r="G39" s="58">
        <f t="shared" si="0"/>
        <v>8992.3374000000003</v>
      </c>
    </row>
    <row r="40" spans="2:13" ht="15">
      <c r="B40" s="45">
        <v>33</v>
      </c>
      <c r="C40" s="61" t="s">
        <v>375</v>
      </c>
      <c r="D40" s="62">
        <v>4.25</v>
      </c>
      <c r="E40" s="63">
        <v>69.5</v>
      </c>
      <c r="F40" s="18"/>
      <c r="G40" s="58">
        <f t="shared" si="0"/>
        <v>10080.120150000001</v>
      </c>
    </row>
    <row r="41" spans="2:13" ht="15">
      <c r="B41" s="45">
        <v>34</v>
      </c>
      <c r="C41" s="59" t="s">
        <v>376</v>
      </c>
      <c r="D41" s="60">
        <v>4</v>
      </c>
      <c r="E41" s="64">
        <v>60.6</v>
      </c>
      <c r="G41" s="58">
        <f t="shared" si="0"/>
        <v>8789.2846200000004</v>
      </c>
    </row>
    <row r="42" spans="2:13" ht="15">
      <c r="B42" s="45">
        <v>35</v>
      </c>
      <c r="C42" s="59" t="s">
        <v>377</v>
      </c>
      <c r="D42" s="60">
        <v>4.75</v>
      </c>
      <c r="E42" s="64">
        <v>89.5</v>
      </c>
      <c r="G42" s="58">
        <f t="shared" si="0"/>
        <v>12980.87415</v>
      </c>
    </row>
    <row r="43" spans="2:13" ht="15">
      <c r="B43" s="45">
        <v>36</v>
      </c>
      <c r="C43" s="59" t="s">
        <v>378</v>
      </c>
      <c r="D43" s="60">
        <v>5.5</v>
      </c>
      <c r="E43" s="64">
        <v>124</v>
      </c>
      <c r="G43" s="58">
        <f t="shared" si="0"/>
        <v>17984.674800000001</v>
      </c>
    </row>
    <row r="44" spans="2:13" ht="15">
      <c r="B44" s="59">
        <v>37</v>
      </c>
      <c r="C44" s="59" t="s">
        <v>379</v>
      </c>
      <c r="D44" s="60">
        <v>6</v>
      </c>
      <c r="E44" s="64">
        <v>150</v>
      </c>
      <c r="G44" s="58">
        <f t="shared" si="0"/>
        <v>21755.654999999999</v>
      </c>
    </row>
    <row r="45" spans="2:13" ht="15">
      <c r="B45" s="59">
        <v>38</v>
      </c>
      <c r="C45" s="61" t="s">
        <v>380</v>
      </c>
      <c r="D45" s="62">
        <v>6.5</v>
      </c>
      <c r="E45" s="63">
        <v>179</v>
      </c>
      <c r="F45" s="18"/>
      <c r="G45" s="58">
        <f t="shared" si="0"/>
        <v>25961.748299999999</v>
      </c>
    </row>
    <row r="46" spans="2:13" ht="15">
      <c r="B46" s="59">
        <v>39</v>
      </c>
      <c r="C46" s="59" t="s">
        <v>381</v>
      </c>
      <c r="D46" s="60">
        <v>5.5</v>
      </c>
      <c r="E46" s="64">
        <v>124</v>
      </c>
      <c r="G46" s="58">
        <f t="shared" si="0"/>
        <v>17984.674800000001</v>
      </c>
    </row>
    <row r="47" spans="2:13" ht="15">
      <c r="B47" s="59">
        <v>40</v>
      </c>
      <c r="C47" s="59" t="s">
        <v>382</v>
      </c>
      <c r="D47" s="60">
        <v>6</v>
      </c>
      <c r="E47" s="64">
        <v>150</v>
      </c>
      <c r="G47" s="58">
        <f t="shared" si="0"/>
        <v>21755.654999999999</v>
      </c>
    </row>
    <row r="48" spans="2:13" ht="15">
      <c r="B48" s="59">
        <v>41</v>
      </c>
      <c r="C48" s="61" t="s">
        <v>383</v>
      </c>
      <c r="D48" s="62">
        <v>6.5</v>
      </c>
      <c r="E48" s="63">
        <v>179</v>
      </c>
      <c r="F48" s="18"/>
      <c r="G48" s="58">
        <f t="shared" si="0"/>
        <v>25961.748299999999</v>
      </c>
    </row>
    <row r="49" spans="2:8" ht="15">
      <c r="B49" s="59">
        <v>42</v>
      </c>
      <c r="C49" s="59" t="s">
        <v>384</v>
      </c>
      <c r="D49" s="60">
        <v>0</v>
      </c>
      <c r="E49" s="64">
        <v>0.7</v>
      </c>
      <c r="G49" s="58">
        <f t="shared" si="0"/>
        <v>101.52638999999999</v>
      </c>
    </row>
    <row r="50" spans="2:8" ht="15">
      <c r="B50" s="59">
        <v>43</v>
      </c>
      <c r="C50" s="61" t="s">
        <v>385</v>
      </c>
      <c r="D50" s="62">
        <v>0.25</v>
      </c>
      <c r="E50" s="63">
        <v>1.4</v>
      </c>
      <c r="F50" s="18"/>
      <c r="G50" s="58">
        <f t="shared" si="0"/>
        <v>203.05277999999998</v>
      </c>
    </row>
    <row r="51" spans="2:8" ht="15">
      <c r="B51" s="59">
        <v>44</v>
      </c>
      <c r="C51" s="59" t="s">
        <v>386</v>
      </c>
      <c r="D51" s="60">
        <v>0</v>
      </c>
      <c r="E51" s="64">
        <v>1</v>
      </c>
      <c r="G51" s="58">
        <f t="shared" si="0"/>
        <v>145.0377</v>
      </c>
    </row>
    <row r="52" spans="2:8" ht="15">
      <c r="B52" s="59">
        <v>45</v>
      </c>
      <c r="C52" s="61" t="s">
        <v>387</v>
      </c>
      <c r="D52" s="62">
        <v>0.25</v>
      </c>
      <c r="E52" s="63">
        <v>2.8</v>
      </c>
      <c r="F52" s="18"/>
      <c r="G52" s="58">
        <f t="shared" si="0"/>
        <v>406.10555999999997</v>
      </c>
    </row>
    <row r="53" spans="2:8" ht="15">
      <c r="B53" s="59">
        <v>46</v>
      </c>
      <c r="C53" s="59" t="s">
        <v>388</v>
      </c>
      <c r="D53" s="60">
        <v>0</v>
      </c>
      <c r="E53" s="64">
        <v>1</v>
      </c>
      <c r="G53" s="58">
        <f t="shared" si="0"/>
        <v>145.0377</v>
      </c>
    </row>
    <row r="54" spans="2:8" ht="15">
      <c r="B54" s="59">
        <v>47</v>
      </c>
      <c r="C54" s="59" t="s">
        <v>389</v>
      </c>
      <c r="D54" s="60">
        <v>0.25</v>
      </c>
      <c r="E54" s="64">
        <v>2.8</v>
      </c>
      <c r="G54" s="58">
        <f t="shared" si="0"/>
        <v>406.10555999999997</v>
      </c>
    </row>
    <row r="55" spans="2:8" ht="15">
      <c r="B55" s="59">
        <v>48</v>
      </c>
      <c r="C55" s="59" t="s">
        <v>394</v>
      </c>
      <c r="D55" s="60">
        <v>0</v>
      </c>
      <c r="E55" s="64">
        <v>0</v>
      </c>
      <c r="G55" s="58">
        <f t="shared" si="0"/>
        <v>0</v>
      </c>
    </row>
    <row r="56" spans="2:8" ht="15">
      <c r="B56" s="59">
        <v>49</v>
      </c>
      <c r="C56" s="59" t="s">
        <v>390</v>
      </c>
      <c r="D56" s="60">
        <v>0</v>
      </c>
      <c r="E56" s="64">
        <v>0</v>
      </c>
    </row>
    <row r="57" spans="2:8" ht="15">
      <c r="B57" s="59">
        <v>50</v>
      </c>
      <c r="C57" s="59" t="s">
        <v>391</v>
      </c>
      <c r="D57" s="60">
        <v>2</v>
      </c>
      <c r="E57" s="69">
        <f>G57/145</f>
        <v>17.241379310344829</v>
      </c>
      <c r="G57">
        <v>2500</v>
      </c>
      <c r="H57" s="58"/>
    </row>
    <row r="58" spans="2:8" ht="15">
      <c r="B58" s="59">
        <v>51</v>
      </c>
      <c r="C58" s="59" t="s">
        <v>392</v>
      </c>
      <c r="D58" s="60">
        <v>2</v>
      </c>
      <c r="E58" s="69">
        <f>G58/145</f>
        <v>17.241379310344829</v>
      </c>
      <c r="G58">
        <v>2500</v>
      </c>
    </row>
    <row r="59" spans="2:8" ht="15">
      <c r="B59" s="59">
        <v>52</v>
      </c>
      <c r="C59" s="59" t="s">
        <v>393</v>
      </c>
      <c r="D59" s="60">
        <v>2</v>
      </c>
      <c r="E59" s="69">
        <f>G59/145</f>
        <v>17.241379310344829</v>
      </c>
      <c r="G59">
        <v>2500</v>
      </c>
    </row>
    <row r="60" spans="2:8" ht="15">
      <c r="B60" s="59">
        <v>53</v>
      </c>
      <c r="C60" s="59" t="s">
        <v>395</v>
      </c>
      <c r="D60" s="60">
        <v>2</v>
      </c>
      <c r="E60" s="69">
        <f>G60/145</f>
        <v>17.241379310344829</v>
      </c>
      <c r="G60">
        <v>2500</v>
      </c>
    </row>
    <row r="61" spans="2:8" ht="15">
      <c r="B61" s="59">
        <v>54</v>
      </c>
      <c r="C61" s="59" t="s">
        <v>396</v>
      </c>
      <c r="D61" s="60">
        <v>2</v>
      </c>
      <c r="E61" s="69">
        <f>G61/145</f>
        <v>17.241379310344829</v>
      </c>
      <c r="G61">
        <v>2500</v>
      </c>
    </row>
    <row r="62" spans="2:8" ht="15">
      <c r="B62" s="59">
        <v>55</v>
      </c>
      <c r="C62" s="59" t="s">
        <v>763</v>
      </c>
      <c r="D62" s="60">
        <v>2</v>
      </c>
      <c r="E62" s="34">
        <v>22</v>
      </c>
    </row>
    <row r="63" spans="2:8" ht="15">
      <c r="B63" s="59">
        <v>56</v>
      </c>
      <c r="C63" s="59" t="s">
        <v>763</v>
      </c>
      <c r="D63" s="60">
        <v>2</v>
      </c>
      <c r="E63" s="34">
        <v>45.5</v>
      </c>
    </row>
    <row r="64" spans="2:8" ht="15">
      <c r="B64" s="59">
        <v>57</v>
      </c>
      <c r="C64" s="59" t="s">
        <v>763</v>
      </c>
      <c r="D64" s="60">
        <v>2</v>
      </c>
      <c r="E64" s="34">
        <v>69</v>
      </c>
    </row>
  </sheetData>
  <phoneticPr fontId="0" type="noConversion"/>
  <pageMargins left="0.75" right="0.75" top="1" bottom="1" header="0.5" footer="0.5"/>
  <pageSetup paperSize="9" orientation="portrait" horizontalDpi="1200" verticalDpi="1200"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S84"/>
  <sheetViews>
    <sheetView workbookViewId="0">
      <pane xSplit="3" ySplit="7" topLeftCell="D8" activePane="bottomRight" state="frozen"/>
      <selection pane="topRight" activeCell="D1" sqref="D1"/>
      <selection pane="bottomLeft" activeCell="A8" sqref="A8"/>
      <selection pane="bottomRight" activeCell="J12" sqref="J12"/>
    </sheetView>
  </sheetViews>
  <sheetFormatPr defaultRowHeight="12.75"/>
  <cols>
    <col min="8" max="8" width="11.28515625" customWidth="1"/>
    <col min="11" max="11" width="12.28515625" customWidth="1"/>
    <col min="12" max="13" width="16.5703125" customWidth="1"/>
    <col min="14" max="14" width="16.28515625" customWidth="1"/>
    <col min="15" max="15" width="28.5703125" customWidth="1"/>
    <col min="20" max="20" width="11" customWidth="1"/>
    <col min="21" max="21" width="10.7109375" customWidth="1"/>
    <col min="22" max="25" width="10.28515625" customWidth="1"/>
    <col min="26" max="30" width="13" customWidth="1"/>
  </cols>
  <sheetData>
    <row r="1" spans="1:45">
      <c r="A1" s="192">
        <v>1</v>
      </c>
      <c r="B1" s="193">
        <v>2</v>
      </c>
      <c r="C1" s="192">
        <v>3</v>
      </c>
      <c r="D1" s="193">
        <v>4</v>
      </c>
      <c r="E1" s="192">
        <v>5</v>
      </c>
      <c r="F1" s="193">
        <v>6</v>
      </c>
      <c r="G1" s="194">
        <v>7</v>
      </c>
      <c r="H1" s="195">
        <v>8</v>
      </c>
      <c r="I1" s="192">
        <v>9</v>
      </c>
      <c r="J1" s="193">
        <v>10</v>
      </c>
      <c r="K1" s="192">
        <v>11</v>
      </c>
      <c r="L1" s="193">
        <v>12</v>
      </c>
      <c r="M1" s="193">
        <v>13</v>
      </c>
      <c r="N1" s="192">
        <v>14</v>
      </c>
      <c r="O1" s="193">
        <v>15</v>
      </c>
      <c r="P1" s="192">
        <v>16</v>
      </c>
      <c r="Q1" s="193">
        <v>17</v>
      </c>
      <c r="R1" s="192">
        <v>18</v>
      </c>
      <c r="S1" s="193">
        <v>19</v>
      </c>
      <c r="T1" s="192">
        <v>20</v>
      </c>
      <c r="U1" s="193">
        <v>21</v>
      </c>
      <c r="V1" s="192">
        <v>22</v>
      </c>
      <c r="W1" s="1010">
        <v>23</v>
      </c>
      <c r="X1" s="1003">
        <v>24</v>
      </c>
      <c r="Y1" s="1010">
        <v>25</v>
      </c>
      <c r="Z1" s="1003">
        <v>26</v>
      </c>
      <c r="AA1" s="1010">
        <v>27</v>
      </c>
      <c r="AB1" s="1003">
        <v>28</v>
      </c>
      <c r="AC1" s="1010">
        <v>29</v>
      </c>
      <c r="AD1" s="1003">
        <v>30</v>
      </c>
    </row>
    <row r="2" spans="1:45" ht="21" thickBot="1">
      <c r="A2" s="196" t="s">
        <v>772</v>
      </c>
      <c r="B2" s="196"/>
      <c r="C2" s="196"/>
      <c r="D2" s="196"/>
      <c r="E2" s="196"/>
      <c r="F2" s="196"/>
      <c r="G2" s="197"/>
      <c r="H2" s="197"/>
      <c r="I2" s="196"/>
      <c r="J2" s="196"/>
      <c r="K2" s="196"/>
      <c r="L2" s="196"/>
      <c r="M2" s="196"/>
      <c r="N2" s="196"/>
      <c r="O2" s="196"/>
      <c r="P2" s="196"/>
      <c r="Q2" s="196"/>
      <c r="R2" s="196"/>
      <c r="S2" s="196"/>
      <c r="T2" s="196"/>
      <c r="U2" s="196"/>
      <c r="V2" s="196"/>
      <c r="W2" s="196"/>
      <c r="X2" s="196"/>
      <c r="Y2" s="196"/>
      <c r="Z2" s="196"/>
      <c r="AA2" s="196"/>
      <c r="AB2" s="196"/>
      <c r="AC2" s="196"/>
      <c r="AD2" s="196"/>
    </row>
    <row r="3" spans="1:45" ht="16.5" thickBot="1">
      <c r="A3" s="198"/>
      <c r="B3" s="199" t="s">
        <v>773</v>
      </c>
      <c r="C3" s="200"/>
      <c r="D3" s="200"/>
      <c r="E3" s="200"/>
      <c r="F3" s="200"/>
      <c r="G3" s="201"/>
      <c r="H3" s="201"/>
      <c r="I3" s="200"/>
      <c r="J3" s="200"/>
      <c r="K3" s="202"/>
      <c r="L3" s="203" t="s">
        <v>774</v>
      </c>
      <c r="M3" s="203"/>
      <c r="N3" s="204" t="s">
        <v>775</v>
      </c>
      <c r="O3" s="199" t="s">
        <v>776</v>
      </c>
      <c r="P3" s="205"/>
      <c r="Q3" s="205"/>
      <c r="R3" s="205"/>
      <c r="S3" s="205"/>
      <c r="T3" s="205"/>
      <c r="U3" s="205"/>
      <c r="V3" s="206"/>
      <c r="W3" s="990"/>
      <c r="X3" s="1002" t="s">
        <v>1505</v>
      </c>
      <c r="Y3" s="990"/>
      <c r="AA3" s="1002"/>
      <c r="AB3" s="990"/>
      <c r="AC3" s="990"/>
      <c r="AD3" s="990"/>
    </row>
    <row r="4" spans="1:45" ht="13.5" thickBot="1">
      <c r="A4" s="207"/>
      <c r="B4" s="208"/>
      <c r="C4" s="209"/>
      <c r="D4" s="210" t="s">
        <v>777</v>
      </c>
      <c r="E4" s="211"/>
      <c r="F4" s="212"/>
      <c r="G4" s="213" t="s">
        <v>778</v>
      </c>
      <c r="H4" s="214"/>
      <c r="I4" s="212"/>
      <c r="J4" s="210" t="s">
        <v>779</v>
      </c>
      <c r="K4" s="212"/>
      <c r="L4" s="215" t="s">
        <v>780</v>
      </c>
      <c r="M4" s="215" t="s">
        <v>81</v>
      </c>
      <c r="N4" s="216" t="s">
        <v>781</v>
      </c>
      <c r="O4" s="217"/>
      <c r="P4" s="218" t="s">
        <v>782</v>
      </c>
      <c r="Q4" s="219"/>
      <c r="R4" s="217" t="s">
        <v>783</v>
      </c>
      <c r="S4" s="217" t="s">
        <v>784</v>
      </c>
      <c r="T4" s="218" t="s">
        <v>785</v>
      </c>
      <c r="U4" s="217" t="s">
        <v>786</v>
      </c>
      <c r="V4" s="219" t="s">
        <v>787</v>
      </c>
      <c r="W4" s="991"/>
      <c r="X4" s="991"/>
      <c r="Y4" s="991"/>
      <c r="Z4" s="1000"/>
      <c r="AA4" s="1000"/>
      <c r="AB4" s="1000"/>
      <c r="AC4" s="1000"/>
      <c r="AD4" s="1000" t="s">
        <v>1509</v>
      </c>
      <c r="AF4" s="220"/>
    </row>
    <row r="5" spans="1:45">
      <c r="A5" s="221" t="s">
        <v>788</v>
      </c>
      <c r="B5" s="222" t="s">
        <v>789</v>
      </c>
      <c r="C5" s="223"/>
      <c r="D5" s="224" t="s">
        <v>790</v>
      </c>
      <c r="E5" s="225" t="s">
        <v>791</v>
      </c>
      <c r="F5" s="226" t="s">
        <v>792</v>
      </c>
      <c r="G5" s="227" t="s">
        <v>793</v>
      </c>
      <c r="H5" s="225" t="s">
        <v>794</v>
      </c>
      <c r="I5" s="226" t="s">
        <v>791</v>
      </c>
      <c r="J5" s="224" t="s">
        <v>795</v>
      </c>
      <c r="K5" s="226" t="s">
        <v>796</v>
      </c>
      <c r="L5" s="228" t="s">
        <v>797</v>
      </c>
      <c r="M5" s="228"/>
      <c r="N5" s="228" t="s">
        <v>798</v>
      </c>
      <c r="O5" s="229" t="s">
        <v>799</v>
      </c>
      <c r="P5" s="229" t="s">
        <v>800</v>
      </c>
      <c r="Q5" s="207" t="s">
        <v>801</v>
      </c>
      <c r="R5" s="229" t="s">
        <v>802</v>
      </c>
      <c r="S5" s="221" t="s">
        <v>791</v>
      </c>
      <c r="T5" s="229" t="s">
        <v>803</v>
      </c>
      <c r="U5" s="229" t="s">
        <v>804</v>
      </c>
      <c r="V5" s="229" t="s">
        <v>779</v>
      </c>
      <c r="W5" s="992"/>
      <c r="X5" s="999"/>
      <c r="Y5" s="999" t="s">
        <v>1510</v>
      </c>
      <c r="Z5" s="1000" t="s">
        <v>1502</v>
      </c>
      <c r="AA5" s="1000" t="s">
        <v>1508</v>
      </c>
      <c r="AB5" s="1000" t="s">
        <v>1503</v>
      </c>
      <c r="AC5" s="1000" t="s">
        <v>1504</v>
      </c>
      <c r="AD5" s="1000" t="s">
        <v>1501</v>
      </c>
      <c r="AF5" s="220"/>
      <c r="AS5" t="s">
        <v>805</v>
      </c>
    </row>
    <row r="6" spans="1:45">
      <c r="A6" s="229" t="s">
        <v>71</v>
      </c>
      <c r="B6" s="224"/>
      <c r="C6" s="230"/>
      <c r="D6" s="224" t="s">
        <v>433</v>
      </c>
      <c r="E6" s="225" t="s">
        <v>806</v>
      </c>
      <c r="F6" s="226" t="s">
        <v>807</v>
      </c>
      <c r="G6" s="231" t="s">
        <v>808</v>
      </c>
      <c r="H6" s="225" t="s">
        <v>809</v>
      </c>
      <c r="I6" s="226" t="s">
        <v>810</v>
      </c>
      <c r="J6" s="224" t="s">
        <v>811</v>
      </c>
      <c r="K6" s="226" t="s">
        <v>812</v>
      </c>
      <c r="L6" s="228" t="s">
        <v>813</v>
      </c>
      <c r="M6" s="228" t="s">
        <v>814</v>
      </c>
      <c r="N6" s="228" t="s">
        <v>815</v>
      </c>
      <c r="O6" s="229"/>
      <c r="P6" s="229"/>
      <c r="Q6" s="229" t="s">
        <v>816</v>
      </c>
      <c r="R6" s="229" t="s">
        <v>49</v>
      </c>
      <c r="S6" s="229" t="s">
        <v>50</v>
      </c>
      <c r="T6" s="229" t="s">
        <v>51</v>
      </c>
      <c r="U6" s="229" t="s">
        <v>817</v>
      </c>
      <c r="V6" s="229" t="s">
        <v>818</v>
      </c>
      <c r="W6" s="992"/>
      <c r="X6" s="992"/>
      <c r="Y6" s="992"/>
      <c r="Z6" s="1000" t="s">
        <v>1506</v>
      </c>
      <c r="AA6" s="1000" t="s">
        <v>1507</v>
      </c>
      <c r="AB6" s="1000" t="s">
        <v>1135</v>
      </c>
      <c r="AC6" s="1000" t="s">
        <v>50</v>
      </c>
      <c r="AD6" s="1000" t="s">
        <v>1500</v>
      </c>
      <c r="AF6" s="879" t="s">
        <v>1361</v>
      </c>
      <c r="AL6" s="44"/>
      <c r="AM6" s="44"/>
      <c r="AO6" t="s">
        <v>819</v>
      </c>
      <c r="AP6" t="s">
        <v>820</v>
      </c>
      <c r="AQ6" t="s">
        <v>821</v>
      </c>
      <c r="AR6" t="s">
        <v>822</v>
      </c>
      <c r="AS6" t="s">
        <v>814</v>
      </c>
    </row>
    <row r="7" spans="1:45" ht="13.5" thickBot="1">
      <c r="A7" s="232"/>
      <c r="B7" s="233"/>
      <c r="C7" s="234"/>
      <c r="D7" s="233" t="str">
        <f t="shared" ref="D7:L7" si="0">D55</f>
        <v>mm</v>
      </c>
      <c r="E7" s="235" t="str">
        <f t="shared" si="0"/>
        <v>mm</v>
      </c>
      <c r="F7" s="236" t="str">
        <f t="shared" si="0"/>
        <v>mm</v>
      </c>
      <c r="G7" s="237" t="str">
        <f t="shared" si="0"/>
        <v>deg</v>
      </c>
      <c r="H7" s="235" t="str">
        <f t="shared" si="0"/>
        <v>---</v>
      </c>
      <c r="I7" s="236" t="str">
        <f t="shared" si="0"/>
        <v>mm</v>
      </c>
      <c r="J7" s="233" t="str">
        <f t="shared" si="0"/>
        <v>mm2</v>
      </c>
      <c r="K7" s="236" t="str">
        <f t="shared" si="0"/>
        <v>mm2</v>
      </c>
      <c r="L7" s="238" t="str">
        <f t="shared" si="0"/>
        <v>mm</v>
      </c>
      <c r="M7" s="238" t="s">
        <v>104</v>
      </c>
      <c r="N7" s="239" t="str">
        <f>N55</f>
        <v>mm</v>
      </c>
      <c r="O7" s="238"/>
      <c r="P7" s="238"/>
      <c r="Q7" s="238" t="str">
        <f t="shared" ref="Q7:V7" si="1">Q55</f>
        <v>N</v>
      </c>
      <c r="R7" s="238" t="str">
        <f t="shared" si="1"/>
        <v>mm</v>
      </c>
      <c r="S7" s="238" t="str">
        <f t="shared" si="1"/>
        <v>mm</v>
      </c>
      <c r="T7" s="238" t="str">
        <f t="shared" si="1"/>
        <v>mm</v>
      </c>
      <c r="U7" s="238" t="str">
        <f t="shared" si="1"/>
        <v>mm</v>
      </c>
      <c r="V7" s="238" t="str">
        <f t="shared" si="1"/>
        <v>mm2</v>
      </c>
      <c r="W7" s="993"/>
      <c r="X7" s="1001"/>
      <c r="Y7" s="1001" t="s">
        <v>92</v>
      </c>
      <c r="Z7" s="1000" t="s">
        <v>104</v>
      </c>
      <c r="AA7" s="1000" t="s">
        <v>104</v>
      </c>
      <c r="AB7" s="1000" t="s">
        <v>104</v>
      </c>
      <c r="AC7" s="1000" t="s">
        <v>104</v>
      </c>
      <c r="AD7" s="1000" t="s">
        <v>104</v>
      </c>
      <c r="AF7" s="238"/>
      <c r="AG7" s="238"/>
      <c r="AH7" s="238"/>
      <c r="AI7" s="238"/>
      <c r="AJ7" s="238"/>
      <c r="AK7" s="238"/>
      <c r="AL7" s="238"/>
      <c r="AM7" s="238"/>
      <c r="AN7" s="238"/>
      <c r="AO7" s="238" t="s">
        <v>104</v>
      </c>
      <c r="AP7" s="238" t="s">
        <v>104</v>
      </c>
      <c r="AQ7" s="238" t="s">
        <v>92</v>
      </c>
      <c r="AR7" s="238" t="s">
        <v>92</v>
      </c>
      <c r="AS7" s="238" t="s">
        <v>104</v>
      </c>
    </row>
    <row r="8" spans="1:45">
      <c r="A8" s="240">
        <v>1</v>
      </c>
      <c r="B8" s="241" t="s">
        <v>823</v>
      </c>
      <c r="C8" s="241" t="s">
        <v>824</v>
      </c>
      <c r="D8" s="242">
        <f t="shared" ref="D8:L8" si="2">D63/D$56</f>
        <v>12.7</v>
      </c>
      <c r="E8" s="243">
        <f t="shared" si="2"/>
        <v>11.43</v>
      </c>
      <c r="F8" s="243">
        <f t="shared" si="2"/>
        <v>10.58418</v>
      </c>
      <c r="G8" s="244">
        <f t="shared" si="2"/>
        <v>60</v>
      </c>
      <c r="H8" s="244">
        <f t="shared" si="2"/>
        <v>13</v>
      </c>
      <c r="I8" s="242">
        <f t="shared" si="2"/>
        <v>1.953846153846154</v>
      </c>
      <c r="J8" s="243">
        <f t="shared" si="2"/>
        <v>81.096612000000007</v>
      </c>
      <c r="K8" s="243">
        <f t="shared" si="2"/>
        <v>91.548203999999998</v>
      </c>
      <c r="L8" s="243">
        <f t="shared" si="2"/>
        <v>22.225000000000001</v>
      </c>
      <c r="M8" s="245">
        <v>15.9</v>
      </c>
      <c r="N8" s="242">
        <v>5.0999999999999997E-2</v>
      </c>
      <c r="O8" s="246"/>
      <c r="P8" s="246"/>
      <c r="Q8" s="247"/>
      <c r="R8" s="247"/>
      <c r="S8" s="247"/>
      <c r="T8" s="247"/>
      <c r="U8" s="247"/>
      <c r="V8" s="248"/>
      <c r="W8" s="192"/>
      <c r="X8" s="192"/>
      <c r="Y8" s="245">
        <f t="shared" ref="Y8:Z28" si="3">Y63/Y$56</f>
        <v>81.29016</v>
      </c>
      <c r="Z8" s="245">
        <f t="shared" si="3"/>
        <v>20.637499999999999</v>
      </c>
      <c r="AA8" s="1011"/>
      <c r="AB8" s="1011"/>
      <c r="AC8" s="1011"/>
      <c r="AD8" s="1011"/>
      <c r="AE8" s="14"/>
      <c r="AF8" s="14">
        <f t="shared" ref="AF8:AF28" si="4">D8-0.9382*I8</f>
        <v>10.866901538461537</v>
      </c>
      <c r="AG8" s="249"/>
      <c r="AH8" s="249"/>
      <c r="AI8" s="249"/>
      <c r="AJ8" s="250"/>
      <c r="AK8" s="249"/>
      <c r="AL8" s="249"/>
      <c r="AM8" s="249"/>
      <c r="AN8" s="249"/>
      <c r="AO8" s="249">
        <v>10.58418</v>
      </c>
      <c r="AP8" s="249">
        <v>11.023</v>
      </c>
      <c r="AQ8">
        <f>PI()/4*AK8^2</f>
        <v>0</v>
      </c>
      <c r="AR8">
        <f>PI()/4*((AF8+AI8)^2)/2</f>
        <v>46.373657468823225</v>
      </c>
      <c r="AS8" s="251"/>
    </row>
    <row r="9" spans="1:45">
      <c r="A9" s="240">
        <v>2</v>
      </c>
      <c r="B9" s="241" t="s">
        <v>825</v>
      </c>
      <c r="C9" s="241" t="s">
        <v>824</v>
      </c>
      <c r="D9" s="242">
        <f t="shared" ref="D9:L9" si="5">D64/D$56</f>
        <v>15.875</v>
      </c>
      <c r="E9" s="243">
        <f t="shared" si="5"/>
        <v>14.376399999999999</v>
      </c>
      <c r="F9" s="243">
        <f t="shared" si="5"/>
        <v>13.375639999999999</v>
      </c>
      <c r="G9" s="244">
        <f t="shared" si="5"/>
        <v>60</v>
      </c>
      <c r="H9" s="244">
        <f t="shared" si="5"/>
        <v>11</v>
      </c>
      <c r="I9" s="242">
        <f t="shared" si="5"/>
        <v>2.3090909090909091</v>
      </c>
      <c r="J9" s="243">
        <f t="shared" si="5"/>
        <v>130.32232000000002</v>
      </c>
      <c r="K9" s="243">
        <f t="shared" si="5"/>
        <v>145.80616000000001</v>
      </c>
      <c r="L9" s="243">
        <f t="shared" si="5"/>
        <v>26.987500000000001</v>
      </c>
      <c r="M9" s="245">
        <v>19.100000000000001</v>
      </c>
      <c r="N9" s="242">
        <v>5.0999999999999997E-2</v>
      </c>
      <c r="O9" s="246"/>
      <c r="P9" s="246"/>
      <c r="Q9" s="247"/>
      <c r="R9" s="247"/>
      <c r="S9" s="247"/>
      <c r="T9" s="247"/>
      <c r="U9" s="247"/>
      <c r="V9" s="248"/>
      <c r="W9" s="192"/>
      <c r="X9" s="192"/>
      <c r="Y9" s="245">
        <f t="shared" si="3"/>
        <v>130.32232000000002</v>
      </c>
      <c r="Z9" s="245">
        <f t="shared" ref="Z9" si="6">Z64/Z$56</f>
        <v>23.8125</v>
      </c>
      <c r="AA9" s="1011"/>
      <c r="AB9" s="1011"/>
      <c r="AC9" s="1011"/>
      <c r="AD9" s="1011"/>
      <c r="AE9" s="14"/>
      <c r="AF9" s="14">
        <f t="shared" si="4"/>
        <v>13.708610909090909</v>
      </c>
      <c r="AG9" s="249"/>
      <c r="AH9" s="249"/>
      <c r="AI9" s="249"/>
      <c r="AJ9" s="250"/>
      <c r="AK9" s="249"/>
      <c r="AL9" s="249"/>
      <c r="AM9" s="249"/>
      <c r="AN9" s="249"/>
      <c r="AO9" s="249">
        <v>13.375639999999999</v>
      </c>
      <c r="AP9" s="249"/>
      <c r="AS9" s="251"/>
    </row>
    <row r="10" spans="1:45">
      <c r="A10" s="240">
        <v>3</v>
      </c>
      <c r="B10" s="241" t="s">
        <v>826</v>
      </c>
      <c r="C10" s="241" t="s">
        <v>824</v>
      </c>
      <c r="D10" s="242">
        <f t="shared" ref="D10:L10" si="7">D65/D$56</f>
        <v>19.05</v>
      </c>
      <c r="E10" s="243">
        <f t="shared" si="7"/>
        <v>17.399000000000001</v>
      </c>
      <c r="F10" s="243">
        <f t="shared" si="7"/>
        <v>16.29918</v>
      </c>
      <c r="G10" s="244">
        <f t="shared" si="7"/>
        <v>60</v>
      </c>
      <c r="H10" s="244">
        <f t="shared" si="7"/>
        <v>10</v>
      </c>
      <c r="I10" s="242">
        <f t="shared" si="7"/>
        <v>2.54</v>
      </c>
      <c r="J10" s="243">
        <f t="shared" si="7"/>
        <v>194.83831999999998</v>
      </c>
      <c r="K10" s="243">
        <f t="shared" si="7"/>
        <v>215.48344</v>
      </c>
      <c r="L10" s="243">
        <f t="shared" si="7"/>
        <v>31.75</v>
      </c>
      <c r="M10" s="245">
        <v>22.2</v>
      </c>
      <c r="N10" s="242">
        <v>5.0999999999999997E-2</v>
      </c>
      <c r="O10" s="252" t="s">
        <v>827</v>
      </c>
      <c r="P10" s="246" t="s">
        <v>828</v>
      </c>
      <c r="Q10" s="247">
        <v>136000</v>
      </c>
      <c r="R10" s="247">
        <v>73.5</v>
      </c>
      <c r="S10" s="247">
        <v>49</v>
      </c>
      <c r="T10" s="247">
        <v>23.5</v>
      </c>
      <c r="U10" s="247">
        <v>160</v>
      </c>
      <c r="V10" s="248">
        <v>1357</v>
      </c>
      <c r="W10" s="192"/>
      <c r="X10" s="192"/>
      <c r="Y10" s="245">
        <f t="shared" si="3"/>
        <v>194.83831999999998</v>
      </c>
      <c r="Z10" s="245">
        <f t="shared" ref="Z10" si="8">Z65/Z$56</f>
        <v>28.574999999999999</v>
      </c>
      <c r="AA10" s="1011"/>
      <c r="AB10" s="1011"/>
      <c r="AC10" s="1011"/>
      <c r="AD10" s="1011"/>
      <c r="AE10" s="14"/>
      <c r="AF10" s="14">
        <f t="shared" si="4"/>
        <v>16.666972000000001</v>
      </c>
      <c r="AG10" s="249"/>
      <c r="AH10" s="249"/>
      <c r="AI10" s="249"/>
      <c r="AJ10" s="250"/>
      <c r="AK10" s="249"/>
      <c r="AL10" s="249"/>
      <c r="AM10" s="249"/>
      <c r="AN10" s="249"/>
      <c r="AO10" s="249">
        <v>16.29918</v>
      </c>
      <c r="AP10" s="249"/>
      <c r="AS10" s="251"/>
    </row>
    <row r="11" spans="1:45">
      <c r="A11" s="253">
        <v>4</v>
      </c>
      <c r="B11" s="254" t="s">
        <v>829</v>
      </c>
      <c r="C11" s="254" t="s">
        <v>824</v>
      </c>
      <c r="D11" s="255">
        <f t="shared" ref="D11:L11" si="9">D66/D$56</f>
        <v>22.225000000000001</v>
      </c>
      <c r="E11" s="256">
        <f t="shared" si="9"/>
        <v>20.391120000000001</v>
      </c>
      <c r="F11" s="256">
        <f t="shared" si="9"/>
        <v>19.16938</v>
      </c>
      <c r="G11" s="257">
        <f t="shared" si="9"/>
        <v>60</v>
      </c>
      <c r="H11" s="257">
        <f t="shared" si="9"/>
        <v>9</v>
      </c>
      <c r="I11" s="255">
        <f t="shared" si="9"/>
        <v>2.822222222222222</v>
      </c>
      <c r="J11" s="256">
        <f t="shared" si="9"/>
        <v>270.32203999999996</v>
      </c>
      <c r="K11" s="256">
        <f t="shared" si="9"/>
        <v>298.06392</v>
      </c>
      <c r="L11" s="256">
        <f t="shared" si="9"/>
        <v>36.512500000000003</v>
      </c>
      <c r="M11" s="258">
        <v>25.4</v>
      </c>
      <c r="N11" s="255">
        <v>5.0999999999999997E-2</v>
      </c>
      <c r="O11" s="259" t="s">
        <v>827</v>
      </c>
      <c r="P11" s="260" t="s">
        <v>828</v>
      </c>
      <c r="Q11" s="261">
        <v>136000</v>
      </c>
      <c r="R11" s="261">
        <v>73.5</v>
      </c>
      <c r="S11" s="261">
        <v>51</v>
      </c>
      <c r="T11" s="261">
        <v>26.5</v>
      </c>
      <c r="U11" s="261">
        <v>160</v>
      </c>
      <c r="V11" s="262">
        <v>1357</v>
      </c>
      <c r="W11" s="192"/>
      <c r="X11" s="192"/>
      <c r="Y11" s="245">
        <f t="shared" si="3"/>
        <v>270.32203999999996</v>
      </c>
      <c r="Z11" s="245">
        <f t="shared" ref="Z11" si="10">Z66/Z$56</f>
        <v>31.75</v>
      </c>
      <c r="AA11" s="1011"/>
      <c r="AB11" s="1011"/>
      <c r="AC11" s="1011"/>
      <c r="AD11" s="1011"/>
      <c r="AE11" s="14"/>
      <c r="AF11" s="14">
        <f t="shared" si="4"/>
        <v>19.577191111111112</v>
      </c>
      <c r="AG11" s="249"/>
      <c r="AH11" s="249"/>
      <c r="AI11" s="249"/>
      <c r="AJ11" s="250"/>
      <c r="AK11" s="249"/>
      <c r="AL11" s="249"/>
      <c r="AM11" s="249"/>
      <c r="AN11" s="249"/>
      <c r="AO11" s="249">
        <v>19.16938</v>
      </c>
      <c r="AP11" s="249"/>
      <c r="AS11" s="263"/>
    </row>
    <row r="12" spans="1:45" s="68" customFormat="1">
      <c r="A12" s="264">
        <v>5</v>
      </c>
      <c r="B12" s="265" t="s">
        <v>830</v>
      </c>
      <c r="C12" s="265" t="s">
        <v>824</v>
      </c>
      <c r="D12" s="266">
        <f t="shared" ref="D12:L12" si="11">D67/D$56</f>
        <v>25.4</v>
      </c>
      <c r="E12" s="267">
        <f t="shared" si="11"/>
        <v>23.337519999999998</v>
      </c>
      <c r="F12" s="267">
        <f t="shared" si="11"/>
        <v>21.963380000000001</v>
      </c>
      <c r="G12" s="268">
        <f t="shared" si="11"/>
        <v>60</v>
      </c>
      <c r="H12" s="268">
        <f t="shared" si="11"/>
        <v>8</v>
      </c>
      <c r="I12" s="266">
        <f t="shared" si="11"/>
        <v>3.1749999999999998</v>
      </c>
      <c r="J12" s="267">
        <f t="shared" si="11"/>
        <v>355.48316</v>
      </c>
      <c r="K12" s="267">
        <f t="shared" si="11"/>
        <v>390.96695999999997</v>
      </c>
      <c r="L12" s="267">
        <f t="shared" si="11"/>
        <v>41.274999999999999</v>
      </c>
      <c r="M12" s="269">
        <v>28.6</v>
      </c>
      <c r="N12" s="266">
        <v>7.5999999999999998E-2</v>
      </c>
      <c r="O12" s="270" t="s">
        <v>831</v>
      </c>
      <c r="P12" s="271" t="s">
        <v>832</v>
      </c>
      <c r="Q12" s="272">
        <v>228000</v>
      </c>
      <c r="R12" s="272">
        <v>86</v>
      </c>
      <c r="S12" s="272">
        <v>59</v>
      </c>
      <c r="T12" s="272">
        <v>29.5</v>
      </c>
      <c r="U12" s="272">
        <v>180</v>
      </c>
      <c r="V12" s="273">
        <v>2277</v>
      </c>
      <c r="W12" s="192"/>
      <c r="X12" s="192"/>
      <c r="Y12" s="245">
        <f t="shared" si="3"/>
        <v>355.48316</v>
      </c>
      <c r="Z12" s="245">
        <f t="shared" ref="Z12" si="12">Z67/Z$56</f>
        <v>34.924999999999997</v>
      </c>
      <c r="AA12" s="1011"/>
      <c r="AB12" s="1011"/>
      <c r="AC12" s="1011"/>
      <c r="AD12" s="1011"/>
      <c r="AE12" s="14"/>
      <c r="AF12" s="14">
        <f t="shared" si="4"/>
        <v>22.421215</v>
      </c>
      <c r="AG12" s="274"/>
      <c r="AH12" s="274"/>
      <c r="AI12" s="274"/>
      <c r="AJ12" s="275"/>
      <c r="AK12" s="274"/>
      <c r="AL12" s="274"/>
      <c r="AM12" s="274"/>
      <c r="AN12" s="274"/>
      <c r="AO12" s="274">
        <v>21.963380000000001</v>
      </c>
      <c r="AP12" s="274">
        <v>22.606000000000002</v>
      </c>
      <c r="AQ12" s="68">
        <f>PI()/4*AK12^2</f>
        <v>0</v>
      </c>
      <c r="AR12" s="68">
        <f>PI()/4*((AF12+AI12)^2)/2</f>
        <v>197.41410175128917</v>
      </c>
      <c r="AS12" s="276">
        <v>28</v>
      </c>
    </row>
    <row r="13" spans="1:45">
      <c r="A13" s="240">
        <v>6</v>
      </c>
      <c r="B13" s="241" t="s">
        <v>833</v>
      </c>
      <c r="C13" s="241" t="s">
        <v>834</v>
      </c>
      <c r="D13" s="242">
        <f t="shared" ref="D13:L13" si="13">D68/D$56</f>
        <v>28.574999999999999</v>
      </c>
      <c r="E13" s="243">
        <f t="shared" si="13"/>
        <v>26.512520000000002</v>
      </c>
      <c r="F13" s="243">
        <f t="shared" si="13"/>
        <v>25.138380000000002</v>
      </c>
      <c r="G13" s="244">
        <f t="shared" si="13"/>
        <v>60</v>
      </c>
      <c r="H13" s="244">
        <f t="shared" si="13"/>
        <v>8</v>
      </c>
      <c r="I13" s="242">
        <f t="shared" si="13"/>
        <v>3.1749999999999998</v>
      </c>
      <c r="J13" s="243">
        <f t="shared" si="13"/>
        <v>469.67647999999997</v>
      </c>
      <c r="K13" s="243">
        <f t="shared" si="13"/>
        <v>509.6764</v>
      </c>
      <c r="L13" s="243">
        <f t="shared" si="13"/>
        <v>46.037500000000001</v>
      </c>
      <c r="M13" s="245">
        <v>31.7</v>
      </c>
      <c r="N13" s="242">
        <v>7.5999999999999998E-2</v>
      </c>
      <c r="O13" s="252" t="s">
        <v>831</v>
      </c>
      <c r="P13" s="246" t="s">
        <v>832</v>
      </c>
      <c r="Q13" s="247">
        <v>228000</v>
      </c>
      <c r="R13" s="247">
        <v>86</v>
      </c>
      <c r="S13" s="247">
        <v>60</v>
      </c>
      <c r="T13" s="247">
        <v>32</v>
      </c>
      <c r="U13" s="247">
        <v>185</v>
      </c>
      <c r="V13" s="248">
        <v>2277</v>
      </c>
      <c r="W13" s="192"/>
      <c r="X13" s="192"/>
      <c r="Y13" s="245">
        <f t="shared" si="3"/>
        <v>469.67647999999997</v>
      </c>
      <c r="Z13" s="245">
        <f t="shared" ref="Z13" si="14">Z68/Z$56</f>
        <v>38.1</v>
      </c>
      <c r="AA13" s="1011"/>
      <c r="AB13" s="1011"/>
      <c r="AC13" s="1011"/>
      <c r="AD13" s="1011"/>
      <c r="AE13" s="14"/>
      <c r="AF13" s="14">
        <f t="shared" si="4"/>
        <v>25.596215000000001</v>
      </c>
      <c r="AG13" s="249"/>
      <c r="AH13" s="249"/>
      <c r="AI13" s="249"/>
      <c r="AJ13" s="250"/>
      <c r="AK13" s="249"/>
      <c r="AL13" s="249"/>
      <c r="AM13" s="249"/>
      <c r="AN13" s="249"/>
      <c r="AO13" s="249">
        <v>25.146000000000001</v>
      </c>
      <c r="AP13" s="249">
        <v>25.780999999999999</v>
      </c>
      <c r="AQ13">
        <f>PI()/4*AK13^2</f>
        <v>0</v>
      </c>
      <c r="AR13">
        <f>PI()/4*((AF13+AI13)^2)</f>
        <v>514.56634773506141</v>
      </c>
      <c r="AS13" s="277"/>
    </row>
    <row r="14" spans="1:45">
      <c r="A14" s="240">
        <v>7</v>
      </c>
      <c r="B14" s="241" t="s">
        <v>835</v>
      </c>
      <c r="C14" s="241" t="s">
        <v>834</v>
      </c>
      <c r="D14" s="242">
        <f t="shared" ref="D14:L14" si="15">D69/D$56</f>
        <v>31.75</v>
      </c>
      <c r="E14" s="243">
        <f t="shared" si="15"/>
        <v>29.687520000000003</v>
      </c>
      <c r="F14" s="243">
        <f t="shared" si="15"/>
        <v>28.313380000000002</v>
      </c>
      <c r="G14" s="244">
        <f t="shared" si="15"/>
        <v>60</v>
      </c>
      <c r="H14" s="244">
        <f t="shared" si="15"/>
        <v>8</v>
      </c>
      <c r="I14" s="242">
        <f t="shared" si="15"/>
        <v>3.1749999999999998</v>
      </c>
      <c r="J14" s="243">
        <f t="shared" si="15"/>
        <v>599.35364000000004</v>
      </c>
      <c r="K14" s="243">
        <f t="shared" si="15"/>
        <v>645.16</v>
      </c>
      <c r="L14" s="243">
        <f t="shared" si="15"/>
        <v>50.8</v>
      </c>
      <c r="M14" s="245">
        <v>34.9</v>
      </c>
      <c r="N14" s="242">
        <v>7.5999999999999998E-2</v>
      </c>
      <c r="O14" s="246" t="s">
        <v>836</v>
      </c>
      <c r="P14" s="246" t="s">
        <v>837</v>
      </c>
      <c r="Q14" s="247">
        <v>348000</v>
      </c>
      <c r="R14" s="247">
        <v>107</v>
      </c>
      <c r="S14" s="247">
        <v>73</v>
      </c>
      <c r="T14" s="247">
        <v>36</v>
      </c>
      <c r="U14" s="247">
        <v>197</v>
      </c>
      <c r="V14" s="248">
        <v>3484</v>
      </c>
      <c r="W14" s="192"/>
      <c r="X14" s="192"/>
      <c r="Y14" s="245">
        <f t="shared" si="3"/>
        <v>599.35364000000004</v>
      </c>
      <c r="Z14" s="245">
        <f t="shared" ref="Z14" si="16">Z69/Z$56</f>
        <v>44.45</v>
      </c>
      <c r="AA14" s="1011"/>
      <c r="AB14" s="1011"/>
      <c r="AC14" s="1011"/>
      <c r="AD14" s="1011"/>
      <c r="AE14" s="14"/>
      <c r="AF14" s="14">
        <f t="shared" si="4"/>
        <v>28.771215000000002</v>
      </c>
      <c r="AG14" s="249"/>
      <c r="AH14" s="249"/>
      <c r="AI14" s="249"/>
      <c r="AJ14" s="250"/>
      <c r="AK14" s="249"/>
      <c r="AL14" s="249"/>
      <c r="AM14" s="249"/>
      <c r="AN14" s="249"/>
      <c r="AO14" s="249">
        <v>28.313380000000002</v>
      </c>
      <c r="AP14" s="249"/>
      <c r="AS14" s="277"/>
    </row>
    <row r="15" spans="1:45">
      <c r="A15" s="240">
        <v>8</v>
      </c>
      <c r="B15" s="241" t="s">
        <v>838</v>
      </c>
      <c r="C15" s="241" t="s">
        <v>834</v>
      </c>
      <c r="D15" s="242">
        <f t="shared" ref="D15:L15" si="17">D70/D$56</f>
        <v>34.924999999999997</v>
      </c>
      <c r="E15" s="243">
        <f t="shared" si="17"/>
        <v>32.862520000000004</v>
      </c>
      <c r="F15" s="243">
        <f t="shared" si="17"/>
        <v>31.488379999999999</v>
      </c>
      <c r="G15" s="244">
        <f t="shared" si="17"/>
        <v>60</v>
      </c>
      <c r="H15" s="244">
        <f t="shared" si="17"/>
        <v>8</v>
      </c>
      <c r="I15" s="242">
        <f t="shared" si="17"/>
        <v>3.1749999999999998</v>
      </c>
      <c r="J15" s="243">
        <f t="shared" si="17"/>
        <v>745.15980000000002</v>
      </c>
      <c r="K15" s="243">
        <f t="shared" si="17"/>
        <v>795.48228000000006</v>
      </c>
      <c r="L15" s="243">
        <f t="shared" si="17"/>
        <v>55.5625</v>
      </c>
      <c r="M15" s="245">
        <v>38</v>
      </c>
      <c r="N15" s="242">
        <v>7.5999999999999998E-2</v>
      </c>
      <c r="O15" s="246" t="s">
        <v>836</v>
      </c>
      <c r="P15" s="246" t="s">
        <v>837</v>
      </c>
      <c r="Q15" s="247">
        <v>348000</v>
      </c>
      <c r="R15" s="247">
        <v>107</v>
      </c>
      <c r="S15" s="247">
        <v>76</v>
      </c>
      <c r="T15" s="247">
        <v>39</v>
      </c>
      <c r="U15" s="247">
        <v>200</v>
      </c>
      <c r="V15" s="248">
        <v>3484</v>
      </c>
      <c r="W15" s="192"/>
      <c r="X15" s="192"/>
      <c r="Y15" s="245">
        <f t="shared" si="3"/>
        <v>745.15980000000002</v>
      </c>
      <c r="Z15" s="245">
        <f t="shared" ref="Z15" si="18">Z70/Z$56</f>
        <v>47.625</v>
      </c>
      <c r="AA15" s="1011"/>
      <c r="AB15" s="1011"/>
      <c r="AC15" s="1011"/>
      <c r="AD15" s="1011"/>
      <c r="AE15" s="14"/>
      <c r="AF15" s="14">
        <f t="shared" si="4"/>
        <v>31.946214999999999</v>
      </c>
      <c r="AG15" s="249"/>
      <c r="AH15" s="249"/>
      <c r="AI15" s="249"/>
      <c r="AJ15" s="250"/>
      <c r="AK15" s="249"/>
      <c r="AL15" s="249"/>
      <c r="AM15" s="249"/>
      <c r="AN15" s="249"/>
      <c r="AO15" s="249">
        <v>31.488379999999999</v>
      </c>
      <c r="AP15" s="249"/>
      <c r="AS15" s="277"/>
    </row>
    <row r="16" spans="1:45">
      <c r="A16" s="240">
        <v>9</v>
      </c>
      <c r="B16" s="241" t="s">
        <v>839</v>
      </c>
      <c r="C16" s="241" t="s">
        <v>834</v>
      </c>
      <c r="D16" s="242">
        <f t="shared" ref="D16:L16" si="19">D71/D$56</f>
        <v>38.1</v>
      </c>
      <c r="E16" s="243">
        <f t="shared" si="19"/>
        <v>36.037520000000001</v>
      </c>
      <c r="F16" s="243">
        <f t="shared" si="19"/>
        <v>34.663380000000004</v>
      </c>
      <c r="G16" s="244">
        <f t="shared" si="19"/>
        <v>60</v>
      </c>
      <c r="H16" s="244">
        <f t="shared" si="19"/>
        <v>8</v>
      </c>
      <c r="I16" s="242">
        <f t="shared" si="19"/>
        <v>3.1749999999999998</v>
      </c>
      <c r="J16" s="243">
        <f t="shared" si="19"/>
        <v>906.44979999999998</v>
      </c>
      <c r="K16" s="243">
        <f t="shared" si="19"/>
        <v>962.57871999999998</v>
      </c>
      <c r="L16" s="243">
        <f t="shared" si="19"/>
        <v>60.325000000000003</v>
      </c>
      <c r="M16" s="245">
        <v>41.3</v>
      </c>
      <c r="N16" s="242">
        <v>0.10199999999999999</v>
      </c>
      <c r="O16" s="246" t="s">
        <v>840</v>
      </c>
      <c r="P16" s="246" t="s">
        <v>841</v>
      </c>
      <c r="Q16" s="247">
        <v>428000</v>
      </c>
      <c r="R16" s="247">
        <v>115</v>
      </c>
      <c r="S16" s="247">
        <v>80</v>
      </c>
      <c r="T16" s="247">
        <v>42</v>
      </c>
      <c r="U16" s="247">
        <v>213</v>
      </c>
      <c r="V16" s="248">
        <v>4276</v>
      </c>
      <c r="W16" s="192"/>
      <c r="X16" s="192"/>
      <c r="Y16" s="245">
        <f t="shared" si="3"/>
        <v>906.44979999999998</v>
      </c>
      <c r="Z16" s="245">
        <f t="shared" ref="Z16" si="20">Z71/Z$56</f>
        <v>50.8</v>
      </c>
      <c r="AA16" s="1011"/>
      <c r="AB16" s="1011"/>
      <c r="AC16" s="1011"/>
      <c r="AD16" s="1011"/>
      <c r="AE16" s="14"/>
      <c r="AF16" s="14">
        <f t="shared" si="4"/>
        <v>35.121214999999999</v>
      </c>
      <c r="AG16" s="249"/>
      <c r="AH16" s="249"/>
      <c r="AI16" s="249"/>
      <c r="AJ16" s="250"/>
      <c r="AK16" s="249"/>
      <c r="AL16" s="249"/>
      <c r="AM16" s="249"/>
      <c r="AN16" s="249"/>
      <c r="AO16" s="249">
        <v>34.663380000000004</v>
      </c>
      <c r="AP16" s="249"/>
      <c r="AS16" s="277"/>
    </row>
    <row r="17" spans="1:45">
      <c r="A17" s="240">
        <v>10</v>
      </c>
      <c r="B17" s="241" t="s">
        <v>842</v>
      </c>
      <c r="C17" s="241" t="s">
        <v>834</v>
      </c>
      <c r="D17" s="242">
        <f t="shared" ref="D17:L17" si="21">D72/D$56</f>
        <v>41.274999999999999</v>
      </c>
      <c r="E17" s="243">
        <f t="shared" si="21"/>
        <v>39.212520000000005</v>
      </c>
      <c r="F17" s="243">
        <f t="shared" si="21"/>
        <v>37.838380000000001</v>
      </c>
      <c r="G17" s="244">
        <f t="shared" si="21"/>
        <v>60</v>
      </c>
      <c r="H17" s="244">
        <f t="shared" si="21"/>
        <v>8</v>
      </c>
      <c r="I17" s="242">
        <f t="shared" si="21"/>
        <v>3.1749999999999998</v>
      </c>
      <c r="J17" s="243">
        <f t="shared" si="21"/>
        <v>1083.8688</v>
      </c>
      <c r="K17" s="243">
        <f t="shared" si="21"/>
        <v>1148.3848</v>
      </c>
      <c r="L17" s="243">
        <f t="shared" si="21"/>
        <v>65.087500000000006</v>
      </c>
      <c r="M17" s="245">
        <v>44.4</v>
      </c>
      <c r="N17" s="242">
        <v>0.10199999999999999</v>
      </c>
      <c r="O17" s="246" t="s">
        <v>843</v>
      </c>
      <c r="P17" s="246" t="s">
        <v>844</v>
      </c>
      <c r="Q17" s="247">
        <v>591000</v>
      </c>
      <c r="R17" s="247">
        <v>134</v>
      </c>
      <c r="S17" s="247">
        <v>91</v>
      </c>
      <c r="T17" s="247">
        <v>45</v>
      </c>
      <c r="U17" s="247">
        <v>214</v>
      </c>
      <c r="V17" s="248">
        <v>5909</v>
      </c>
      <c r="W17" s="192"/>
      <c r="X17" s="192"/>
      <c r="Y17" s="245">
        <f t="shared" si="3"/>
        <v>1083.8688</v>
      </c>
      <c r="Z17" s="245">
        <f t="shared" ref="Z17" si="22">Z72/Z$56</f>
        <v>53.975000000000001</v>
      </c>
      <c r="AA17" s="1011"/>
      <c r="AB17" s="1011"/>
      <c r="AC17" s="1011"/>
      <c r="AD17" s="1011"/>
      <c r="AE17" s="14"/>
      <c r="AF17" s="14">
        <f t="shared" si="4"/>
        <v>38.296214999999997</v>
      </c>
      <c r="AG17" s="249"/>
      <c r="AH17" s="249"/>
      <c r="AI17" s="249"/>
      <c r="AJ17" s="250"/>
      <c r="AK17" s="249"/>
      <c r="AL17" s="249"/>
      <c r="AM17" s="249"/>
      <c r="AN17" s="249"/>
      <c r="AO17" s="249">
        <v>37.838380000000001</v>
      </c>
      <c r="AP17" s="249"/>
      <c r="AS17" s="277"/>
    </row>
    <row r="18" spans="1:45">
      <c r="A18" s="240">
        <v>11</v>
      </c>
      <c r="B18" s="241" t="s">
        <v>845</v>
      </c>
      <c r="C18" s="241" t="s">
        <v>834</v>
      </c>
      <c r="D18" s="242">
        <f t="shared" ref="D18:L18" si="23">D73/D$56</f>
        <v>44.45</v>
      </c>
      <c r="E18" s="243">
        <f t="shared" si="23"/>
        <v>42.387520000000002</v>
      </c>
      <c r="F18" s="243">
        <f t="shared" si="23"/>
        <v>41.013379999999998</v>
      </c>
      <c r="G18" s="244">
        <f t="shared" si="23"/>
        <v>60</v>
      </c>
      <c r="H18" s="244">
        <f t="shared" si="23"/>
        <v>8</v>
      </c>
      <c r="I18" s="242">
        <f t="shared" si="23"/>
        <v>3.1749999999999998</v>
      </c>
      <c r="J18" s="243">
        <f t="shared" si="23"/>
        <v>1277.4168</v>
      </c>
      <c r="K18" s="243">
        <f t="shared" si="23"/>
        <v>1341.9328</v>
      </c>
      <c r="L18" s="243">
        <f t="shared" si="23"/>
        <v>69.849999999999994</v>
      </c>
      <c r="M18" s="245">
        <v>48</v>
      </c>
      <c r="N18" s="242">
        <v>0.10199999999999999</v>
      </c>
      <c r="O18" s="246" t="s">
        <v>843</v>
      </c>
      <c r="P18" s="246" t="s">
        <v>844</v>
      </c>
      <c r="Q18" s="247">
        <v>591000</v>
      </c>
      <c r="R18" s="247">
        <v>134</v>
      </c>
      <c r="S18" s="247">
        <v>94</v>
      </c>
      <c r="T18" s="247">
        <v>49</v>
      </c>
      <c r="U18" s="247">
        <v>217</v>
      </c>
      <c r="V18" s="248">
        <v>5909</v>
      </c>
      <c r="W18" s="192"/>
      <c r="X18" s="192"/>
      <c r="Y18" s="245">
        <f t="shared" si="3"/>
        <v>1277.4168</v>
      </c>
      <c r="Z18" s="245">
        <f t="shared" ref="Z18" si="24">Z73/Z$56</f>
        <v>57.15</v>
      </c>
      <c r="AA18" s="1011"/>
      <c r="AB18" s="1011"/>
      <c r="AC18" s="1011"/>
      <c r="AD18" s="1011"/>
      <c r="AE18" s="14"/>
      <c r="AF18" s="14">
        <f t="shared" si="4"/>
        <v>41.471215000000001</v>
      </c>
      <c r="AG18" s="249"/>
      <c r="AH18" s="249"/>
      <c r="AI18" s="249"/>
      <c r="AJ18" s="250"/>
      <c r="AK18" s="249"/>
      <c r="AL18" s="249"/>
      <c r="AM18" s="249"/>
      <c r="AN18" s="249"/>
      <c r="AO18" s="249">
        <v>41.013379999999998</v>
      </c>
      <c r="AP18" s="249"/>
      <c r="AS18" s="277"/>
    </row>
    <row r="19" spans="1:45">
      <c r="A19" s="253">
        <v>12</v>
      </c>
      <c r="B19" s="254" t="s">
        <v>846</v>
      </c>
      <c r="C19" s="254" t="s">
        <v>834</v>
      </c>
      <c r="D19" s="255">
        <f t="shared" ref="D19:L19" si="25">D74/D$56</f>
        <v>47.625</v>
      </c>
      <c r="E19" s="256">
        <f t="shared" si="25"/>
        <v>45.562519999999999</v>
      </c>
      <c r="F19" s="256">
        <f t="shared" si="25"/>
        <v>44.188380000000002</v>
      </c>
      <c r="G19" s="257">
        <f t="shared" si="25"/>
        <v>60</v>
      </c>
      <c r="H19" s="257">
        <f t="shared" si="25"/>
        <v>8</v>
      </c>
      <c r="I19" s="255">
        <f t="shared" si="25"/>
        <v>3.1749999999999998</v>
      </c>
      <c r="J19" s="256">
        <f t="shared" si="25"/>
        <v>1483.8679999999999</v>
      </c>
      <c r="K19" s="256">
        <f t="shared" si="25"/>
        <v>1554.8356000000001</v>
      </c>
      <c r="L19" s="256">
        <f t="shared" si="25"/>
        <v>74.612499999999997</v>
      </c>
      <c r="M19" s="258">
        <v>50.8</v>
      </c>
      <c r="N19" s="255">
        <v>0.10199999999999999</v>
      </c>
      <c r="O19" s="260" t="s">
        <v>847</v>
      </c>
      <c r="P19" s="260" t="s">
        <v>848</v>
      </c>
      <c r="Q19" s="261">
        <v>788000</v>
      </c>
      <c r="R19" s="261">
        <v>150</v>
      </c>
      <c r="S19" s="261">
        <v>102</v>
      </c>
      <c r="T19" s="261">
        <v>51</v>
      </c>
      <c r="U19" s="261">
        <v>222</v>
      </c>
      <c r="V19" s="262">
        <v>7881</v>
      </c>
      <c r="W19" s="192"/>
      <c r="X19" s="192"/>
      <c r="Y19" s="245">
        <f t="shared" si="3"/>
        <v>1486.4486399999998</v>
      </c>
      <c r="Z19" s="245">
        <f t="shared" ref="Z19" si="26">Z74/Z$56</f>
        <v>60.325000000000003</v>
      </c>
      <c r="AA19" s="1011"/>
      <c r="AB19" s="1011"/>
      <c r="AC19" s="1011"/>
      <c r="AD19" s="1011"/>
      <c r="AE19" s="14"/>
      <c r="AF19" s="14">
        <f t="shared" si="4"/>
        <v>44.646214999999998</v>
      </c>
      <c r="AG19" s="249"/>
      <c r="AH19" s="249"/>
      <c r="AI19" s="249"/>
      <c r="AJ19" s="250"/>
      <c r="AK19" s="249"/>
      <c r="AL19" s="249"/>
      <c r="AM19" s="249"/>
      <c r="AN19" s="249"/>
      <c r="AO19" s="249">
        <v>44.188380000000002</v>
      </c>
      <c r="AP19" s="249"/>
      <c r="AS19" s="277"/>
    </row>
    <row r="20" spans="1:45" s="68" customFormat="1">
      <c r="A20" s="264">
        <v>13</v>
      </c>
      <c r="B20" s="265" t="s">
        <v>849</v>
      </c>
      <c r="C20" s="265" t="s">
        <v>834</v>
      </c>
      <c r="D20" s="266">
        <f t="shared" ref="D20:L20" si="27">D75/D$56</f>
        <v>50.8</v>
      </c>
      <c r="E20" s="267">
        <f t="shared" si="27"/>
        <v>48.737520000000004</v>
      </c>
      <c r="F20" s="267">
        <f t="shared" si="27"/>
        <v>47.363379999999999</v>
      </c>
      <c r="G20" s="268">
        <f t="shared" si="27"/>
        <v>60</v>
      </c>
      <c r="H20" s="268">
        <f t="shared" si="27"/>
        <v>8</v>
      </c>
      <c r="I20" s="266">
        <f t="shared" si="27"/>
        <v>3.1749999999999998</v>
      </c>
      <c r="J20" s="267">
        <f t="shared" si="27"/>
        <v>1709.674</v>
      </c>
      <c r="K20" s="267">
        <f t="shared" si="27"/>
        <v>1787.0932</v>
      </c>
      <c r="L20" s="267">
        <f t="shared" si="27"/>
        <v>79.375</v>
      </c>
      <c r="M20" s="269">
        <v>54</v>
      </c>
      <c r="N20" s="266">
        <v>0.10199999999999999</v>
      </c>
      <c r="O20" s="271" t="s">
        <v>847</v>
      </c>
      <c r="P20" s="271" t="s">
        <v>848</v>
      </c>
      <c r="Q20" s="272">
        <v>788000</v>
      </c>
      <c r="R20" s="272">
        <v>150</v>
      </c>
      <c r="S20" s="272">
        <v>105</v>
      </c>
      <c r="T20" s="272">
        <v>54</v>
      </c>
      <c r="U20" s="272">
        <v>225</v>
      </c>
      <c r="V20" s="273">
        <v>7881</v>
      </c>
      <c r="W20" s="192"/>
      <c r="X20" s="192"/>
      <c r="Y20" s="245">
        <f t="shared" si="3"/>
        <v>1710.96432</v>
      </c>
      <c r="Z20" s="245">
        <f t="shared" ref="Z20" si="28">Z75/Z$56</f>
        <v>63.5</v>
      </c>
      <c r="AA20" s="1011"/>
      <c r="AB20" s="1011"/>
      <c r="AC20" s="1011"/>
      <c r="AD20" s="1011"/>
      <c r="AE20" s="14"/>
      <c r="AF20" s="14">
        <f t="shared" si="4"/>
        <v>47.821214999999995</v>
      </c>
      <c r="AG20" s="274"/>
      <c r="AH20" s="274"/>
      <c r="AI20" s="274"/>
      <c r="AJ20" s="275"/>
      <c r="AK20" s="274"/>
      <c r="AL20" s="274"/>
      <c r="AM20" s="274"/>
      <c r="AN20" s="274"/>
      <c r="AO20" s="274">
        <v>47.363379999999999</v>
      </c>
      <c r="AP20" s="274"/>
      <c r="AS20" s="278"/>
    </row>
    <row r="21" spans="1:45">
      <c r="A21" s="240">
        <v>14</v>
      </c>
      <c r="B21" s="241" t="s">
        <v>850</v>
      </c>
      <c r="C21" s="241" t="s">
        <v>834</v>
      </c>
      <c r="D21" s="242">
        <f t="shared" ref="D21:L21" si="29">D76/D$56</f>
        <v>57.15</v>
      </c>
      <c r="E21" s="243">
        <f t="shared" si="29"/>
        <v>55.087520000000005</v>
      </c>
      <c r="F21" s="243">
        <f t="shared" si="29"/>
        <v>53.713380000000001</v>
      </c>
      <c r="G21" s="244">
        <f t="shared" si="29"/>
        <v>60</v>
      </c>
      <c r="H21" s="244">
        <f t="shared" si="29"/>
        <v>8</v>
      </c>
      <c r="I21" s="242">
        <f t="shared" si="29"/>
        <v>3.1749999999999998</v>
      </c>
      <c r="J21" s="243">
        <f t="shared" si="29"/>
        <v>2206.4472000000001</v>
      </c>
      <c r="K21" s="243">
        <f t="shared" si="29"/>
        <v>2296.7696000000001</v>
      </c>
      <c r="L21" s="243">
        <f t="shared" si="29"/>
        <v>88.9</v>
      </c>
      <c r="M21" s="245">
        <v>60</v>
      </c>
      <c r="N21" s="242">
        <v>0.127</v>
      </c>
      <c r="O21" s="246" t="s">
        <v>851</v>
      </c>
      <c r="P21" s="246" t="s">
        <v>852</v>
      </c>
      <c r="Q21" s="247">
        <v>989000</v>
      </c>
      <c r="R21" s="247">
        <v>167</v>
      </c>
      <c r="S21" s="247">
        <v>119</v>
      </c>
      <c r="T21" s="247">
        <v>59</v>
      </c>
      <c r="U21" s="247">
        <v>231</v>
      </c>
      <c r="V21" s="248">
        <v>9893</v>
      </c>
      <c r="W21" s="192"/>
      <c r="X21" s="192"/>
      <c r="Y21" s="245">
        <f t="shared" si="3"/>
        <v>2208.3826800000002</v>
      </c>
      <c r="Z21" s="245">
        <f t="shared" ref="Z21" si="30">Z76/Z$56</f>
        <v>69.849999999999994</v>
      </c>
      <c r="AA21" s="1011"/>
      <c r="AB21" s="1011"/>
      <c r="AC21" s="1011"/>
      <c r="AD21" s="1011"/>
      <c r="AE21" s="14"/>
      <c r="AF21" s="14">
        <f t="shared" si="4"/>
        <v>54.171214999999997</v>
      </c>
      <c r="AG21" s="249"/>
      <c r="AH21" s="249"/>
      <c r="AI21" s="249"/>
      <c r="AJ21" s="250"/>
      <c r="AK21" s="249"/>
      <c r="AL21" s="249"/>
      <c r="AM21" s="249"/>
      <c r="AN21" s="249"/>
      <c r="AO21" s="249">
        <v>53.713380000000001</v>
      </c>
      <c r="AP21" s="249"/>
      <c r="AS21" s="277"/>
    </row>
    <row r="22" spans="1:45">
      <c r="A22" s="240">
        <v>15</v>
      </c>
      <c r="B22" s="241" t="s">
        <v>853</v>
      </c>
      <c r="C22" s="241" t="s">
        <v>834</v>
      </c>
      <c r="D22" s="242">
        <f t="shared" ref="D22:L22" si="31">D77/D$56</f>
        <v>63.5</v>
      </c>
      <c r="E22" s="243">
        <f t="shared" si="31"/>
        <v>61.437519999999999</v>
      </c>
      <c r="F22" s="243">
        <f t="shared" si="31"/>
        <v>60.063380000000002</v>
      </c>
      <c r="G22" s="244">
        <f t="shared" si="31"/>
        <v>60</v>
      </c>
      <c r="H22" s="244">
        <f t="shared" si="31"/>
        <v>8</v>
      </c>
      <c r="I22" s="242">
        <f t="shared" si="31"/>
        <v>3.1749999999999998</v>
      </c>
      <c r="J22" s="243">
        <f t="shared" si="31"/>
        <v>2767.7363999999998</v>
      </c>
      <c r="K22" s="243">
        <f t="shared" si="31"/>
        <v>2864.5104000000001</v>
      </c>
      <c r="L22" s="243">
        <f t="shared" si="31"/>
        <v>98.424999999999997</v>
      </c>
      <c r="M22" s="245">
        <v>66.7</v>
      </c>
      <c r="N22" s="242">
        <v>0.127</v>
      </c>
      <c r="O22" s="246" t="s">
        <v>854</v>
      </c>
      <c r="P22" s="246" t="s">
        <v>855</v>
      </c>
      <c r="Q22" s="247">
        <v>1274000</v>
      </c>
      <c r="R22" s="247">
        <v>190</v>
      </c>
      <c r="S22" s="247">
        <v>131</v>
      </c>
      <c r="T22" s="247">
        <v>65</v>
      </c>
      <c r="U22" s="247">
        <v>248</v>
      </c>
      <c r="V22" s="248">
        <v>12743</v>
      </c>
      <c r="W22" s="192"/>
      <c r="X22" s="192"/>
      <c r="Y22" s="245">
        <f t="shared" si="3"/>
        <v>2769.0267199999998</v>
      </c>
      <c r="Z22" s="245">
        <f t="shared" ref="Z22" si="32">Z77/Z$56</f>
        <v>77.787499999999994</v>
      </c>
      <c r="AA22" s="1011"/>
      <c r="AB22" s="1011"/>
      <c r="AC22" s="1011"/>
      <c r="AD22" s="1011"/>
      <c r="AE22" s="14"/>
      <c r="AF22" s="14">
        <f t="shared" si="4"/>
        <v>60.521214999999998</v>
      </c>
      <c r="AG22" s="249"/>
      <c r="AH22" s="249"/>
      <c r="AI22" s="249"/>
      <c r="AJ22" s="250"/>
      <c r="AK22" s="249"/>
      <c r="AL22" s="249"/>
      <c r="AM22" s="249"/>
      <c r="AN22" s="249"/>
      <c r="AO22" s="249">
        <v>60.063380000000002</v>
      </c>
      <c r="AP22" s="249"/>
      <c r="AS22" s="277"/>
    </row>
    <row r="23" spans="1:45">
      <c r="A23" s="240">
        <v>16</v>
      </c>
      <c r="B23" s="241" t="s">
        <v>856</v>
      </c>
      <c r="C23" s="241" t="s">
        <v>834</v>
      </c>
      <c r="D23" s="242">
        <f t="shared" ref="D23:L23" si="33">D78/D$56</f>
        <v>69.849999999999994</v>
      </c>
      <c r="E23" s="243">
        <f t="shared" si="33"/>
        <v>67.787520000000001</v>
      </c>
      <c r="F23" s="243">
        <f t="shared" si="33"/>
        <v>66.413380000000004</v>
      </c>
      <c r="G23" s="244">
        <f t="shared" si="33"/>
        <v>60</v>
      </c>
      <c r="H23" s="244">
        <f t="shared" si="33"/>
        <v>8</v>
      </c>
      <c r="I23" s="242">
        <f t="shared" si="33"/>
        <v>3.1749999999999998</v>
      </c>
      <c r="J23" s="243">
        <f t="shared" si="33"/>
        <v>3393.5416</v>
      </c>
      <c r="K23" s="243">
        <f t="shared" si="33"/>
        <v>3503.2187999999996</v>
      </c>
      <c r="L23" s="243">
        <f t="shared" si="33"/>
        <v>107.95</v>
      </c>
      <c r="M23" s="245">
        <v>73</v>
      </c>
      <c r="N23" s="242">
        <v>0.127</v>
      </c>
      <c r="O23" s="246" t="s">
        <v>857</v>
      </c>
      <c r="P23" s="246" t="s">
        <v>858</v>
      </c>
      <c r="Q23" s="247">
        <v>1594000</v>
      </c>
      <c r="R23" s="247">
        <v>208</v>
      </c>
      <c r="S23" s="247">
        <v>146</v>
      </c>
      <c r="T23" s="247">
        <v>71</v>
      </c>
      <c r="U23" s="247">
        <v>258</v>
      </c>
      <c r="V23" s="248">
        <v>15944</v>
      </c>
      <c r="W23" s="192"/>
      <c r="X23" s="192"/>
      <c r="Y23" s="245">
        <f t="shared" si="3"/>
        <v>3392.89644</v>
      </c>
      <c r="Z23" s="245">
        <f t="shared" ref="Z23" si="34">Z78/Z$56</f>
        <v>85.724999999999994</v>
      </c>
      <c r="AA23" s="1011"/>
      <c r="AB23" s="1011"/>
      <c r="AC23" s="1011"/>
      <c r="AD23" s="1011"/>
      <c r="AE23" s="14"/>
      <c r="AF23" s="14">
        <f t="shared" si="4"/>
        <v>66.871214999999992</v>
      </c>
      <c r="AG23" s="249"/>
      <c r="AH23" s="249"/>
      <c r="AI23" s="249"/>
      <c r="AJ23" s="250"/>
      <c r="AK23" s="249"/>
      <c r="AL23" s="249"/>
      <c r="AM23" s="249"/>
      <c r="AN23" s="249"/>
      <c r="AO23" s="249">
        <v>66.413380000000004</v>
      </c>
      <c r="AP23" s="249"/>
      <c r="AS23" s="277"/>
    </row>
    <row r="24" spans="1:45">
      <c r="A24" s="240">
        <v>17</v>
      </c>
      <c r="B24" s="241" t="s">
        <v>859</v>
      </c>
      <c r="C24" s="241" t="s">
        <v>834</v>
      </c>
      <c r="D24" s="242">
        <f t="shared" ref="D24:L24" si="35">D79/D$56</f>
        <v>76.2</v>
      </c>
      <c r="E24" s="243">
        <f t="shared" si="35"/>
        <v>74.137520000000009</v>
      </c>
      <c r="F24" s="243">
        <f t="shared" si="35"/>
        <v>72.763379999999998</v>
      </c>
      <c r="G24" s="244">
        <f t="shared" si="35"/>
        <v>60</v>
      </c>
      <c r="H24" s="244">
        <f t="shared" si="35"/>
        <v>8</v>
      </c>
      <c r="I24" s="242">
        <f t="shared" si="35"/>
        <v>3.1749999999999998</v>
      </c>
      <c r="J24" s="243">
        <f t="shared" si="35"/>
        <v>4077.4112</v>
      </c>
      <c r="K24" s="243">
        <f t="shared" si="35"/>
        <v>4199.9915999999994</v>
      </c>
      <c r="L24" s="243">
        <f t="shared" si="35"/>
        <v>117.47500000000001</v>
      </c>
      <c r="M24" s="245">
        <v>79</v>
      </c>
      <c r="N24" s="242">
        <v>0.152</v>
      </c>
      <c r="O24" s="246" t="s">
        <v>860</v>
      </c>
      <c r="P24" s="246" t="s">
        <v>861</v>
      </c>
      <c r="Q24" s="247">
        <v>1832000</v>
      </c>
      <c r="R24" s="247">
        <v>222</v>
      </c>
      <c r="S24" s="247">
        <v>157</v>
      </c>
      <c r="T24" s="247">
        <v>77</v>
      </c>
      <c r="U24" s="247">
        <v>265</v>
      </c>
      <c r="V24" s="248">
        <v>18321</v>
      </c>
      <c r="W24" s="192"/>
      <c r="X24" s="192"/>
      <c r="Y24" s="245">
        <f t="shared" si="3"/>
        <v>4079.9918399999997</v>
      </c>
      <c r="Z24" s="245">
        <f t="shared" ref="Z24" si="36">Z79/Z$56</f>
        <v>92.075000000000003</v>
      </c>
      <c r="AA24" s="1011"/>
      <c r="AB24" s="1011"/>
      <c r="AC24" s="1011"/>
      <c r="AD24" s="1011"/>
      <c r="AE24" s="14"/>
      <c r="AF24" s="14">
        <f t="shared" si="4"/>
        <v>73.221215000000001</v>
      </c>
      <c r="AG24" s="249"/>
      <c r="AH24" s="249"/>
      <c r="AI24" s="249"/>
      <c r="AJ24" s="250"/>
      <c r="AK24" s="249"/>
      <c r="AL24" s="249"/>
      <c r="AM24" s="249"/>
      <c r="AN24" s="249"/>
      <c r="AO24" s="249">
        <v>72.763379999999998</v>
      </c>
      <c r="AP24" s="249"/>
      <c r="AS24" s="277"/>
    </row>
    <row r="25" spans="1:45">
      <c r="A25" s="240">
        <v>18</v>
      </c>
      <c r="B25" s="241" t="s">
        <v>862</v>
      </c>
      <c r="C25" s="241" t="s">
        <v>834</v>
      </c>
      <c r="D25" s="242">
        <f t="shared" ref="D25:L25" si="37">D80/D$56</f>
        <v>82.55</v>
      </c>
      <c r="E25" s="243">
        <f t="shared" si="37"/>
        <v>80.487520000000004</v>
      </c>
      <c r="F25" s="243">
        <f t="shared" si="37"/>
        <v>79.113380000000006</v>
      </c>
      <c r="G25" s="244">
        <f t="shared" si="37"/>
        <v>60</v>
      </c>
      <c r="H25" s="244">
        <f t="shared" si="37"/>
        <v>8</v>
      </c>
      <c r="I25" s="242">
        <f t="shared" si="37"/>
        <v>3.1749999999999998</v>
      </c>
      <c r="J25" s="243">
        <f t="shared" si="37"/>
        <v>4832.2484000000004</v>
      </c>
      <c r="K25" s="243">
        <f t="shared" si="37"/>
        <v>4961.2804000000006</v>
      </c>
      <c r="L25" s="243">
        <f t="shared" si="37"/>
        <v>127</v>
      </c>
      <c r="M25" s="245">
        <v>86</v>
      </c>
      <c r="N25" s="242">
        <v>0.152</v>
      </c>
      <c r="O25" s="246" t="s">
        <v>863</v>
      </c>
      <c r="P25" s="246" t="s">
        <v>864</v>
      </c>
      <c r="Q25" s="247">
        <v>2178000</v>
      </c>
      <c r="R25" s="247">
        <v>239</v>
      </c>
      <c r="S25" s="247">
        <v>175</v>
      </c>
      <c r="T25" s="247">
        <v>87</v>
      </c>
      <c r="U25" s="247">
        <v>274</v>
      </c>
      <c r="V25" s="248">
        <v>21778</v>
      </c>
      <c r="W25" s="192"/>
      <c r="X25" s="192"/>
      <c r="Y25" s="245">
        <f t="shared" si="3"/>
        <v>4830.3129200000003</v>
      </c>
      <c r="Z25" s="245">
        <f t="shared" ref="Z25" si="38">Z80/Z$56</f>
        <v>95.25</v>
      </c>
      <c r="AA25" s="1011"/>
      <c r="AB25" s="1011"/>
      <c r="AC25" s="1011"/>
      <c r="AD25" s="1011"/>
      <c r="AE25" s="14"/>
      <c r="AF25" s="14">
        <f t="shared" si="4"/>
        <v>79.571214999999995</v>
      </c>
      <c r="AG25" s="249"/>
      <c r="AH25" s="249"/>
      <c r="AI25" s="249"/>
      <c r="AJ25" s="250"/>
      <c r="AK25" s="249"/>
      <c r="AL25" s="249"/>
      <c r="AM25" s="249"/>
      <c r="AN25" s="249"/>
      <c r="AO25" s="249">
        <v>79.113380000000006</v>
      </c>
      <c r="AP25" s="249"/>
      <c r="AS25" s="277"/>
    </row>
    <row r="26" spans="1:45">
      <c r="A26" s="240">
        <v>19</v>
      </c>
      <c r="B26" s="241" t="s">
        <v>865</v>
      </c>
      <c r="C26" s="241" t="s">
        <v>834</v>
      </c>
      <c r="D26" s="242">
        <f t="shared" ref="D26:L26" si="39">D81/D$56</f>
        <v>88.9</v>
      </c>
      <c r="E26" s="243">
        <f t="shared" si="39"/>
        <v>86.837519999999998</v>
      </c>
      <c r="F26" s="243">
        <f t="shared" si="39"/>
        <v>85.463380000000001</v>
      </c>
      <c r="G26" s="244">
        <f t="shared" si="39"/>
        <v>60</v>
      </c>
      <c r="H26" s="244">
        <f t="shared" si="39"/>
        <v>8</v>
      </c>
      <c r="I26" s="242">
        <f t="shared" si="39"/>
        <v>3.1749999999999998</v>
      </c>
      <c r="J26" s="243">
        <f t="shared" si="39"/>
        <v>5645.15</v>
      </c>
      <c r="K26" s="243">
        <f t="shared" si="39"/>
        <v>5780.6336000000001</v>
      </c>
      <c r="L26" s="243">
        <f t="shared" si="39"/>
        <v>136.52500000000001</v>
      </c>
      <c r="M26" s="245">
        <v>92</v>
      </c>
      <c r="N26" s="242">
        <v>0.152</v>
      </c>
      <c r="O26" s="246" t="s">
        <v>863</v>
      </c>
      <c r="P26" s="246" t="s">
        <v>864</v>
      </c>
      <c r="Q26" s="247">
        <v>2178000</v>
      </c>
      <c r="R26" s="247">
        <v>239</v>
      </c>
      <c r="S26" s="247">
        <v>177</v>
      </c>
      <c r="T26" s="247">
        <v>93</v>
      </c>
      <c r="U26" s="247">
        <v>281</v>
      </c>
      <c r="V26" s="248">
        <v>21778</v>
      </c>
      <c r="W26" s="192"/>
      <c r="X26" s="192"/>
      <c r="Y26" s="245">
        <f t="shared" si="3"/>
        <v>5644.5048400000005</v>
      </c>
      <c r="Z26" s="245">
        <f t="shared" ref="Z26" si="40">Z81/Z$56</f>
        <v>104.77500000000001</v>
      </c>
      <c r="AA26" s="1011"/>
      <c r="AB26" s="1011"/>
      <c r="AC26" s="1011"/>
      <c r="AD26" s="1011"/>
      <c r="AE26" s="14"/>
      <c r="AF26" s="14">
        <f t="shared" si="4"/>
        <v>85.921215000000004</v>
      </c>
      <c r="AG26" s="249"/>
      <c r="AH26" s="249"/>
      <c r="AI26" s="249"/>
      <c r="AJ26" s="250"/>
      <c r="AK26" s="249"/>
      <c r="AL26" s="249"/>
      <c r="AM26" s="249"/>
      <c r="AN26" s="249"/>
      <c r="AO26" s="249">
        <v>85.463380000000001</v>
      </c>
      <c r="AP26" s="249"/>
      <c r="AS26" s="277"/>
    </row>
    <row r="27" spans="1:45">
      <c r="A27" s="240">
        <v>20</v>
      </c>
      <c r="B27" s="241" t="s">
        <v>866</v>
      </c>
      <c r="C27" s="241" t="s">
        <v>834</v>
      </c>
      <c r="D27" s="242">
        <f t="shared" ref="D27:L27" si="41">D82/D$56</f>
        <v>95.25</v>
      </c>
      <c r="E27" s="243">
        <f t="shared" si="41"/>
        <v>93.187520000000006</v>
      </c>
      <c r="F27" s="243">
        <f t="shared" si="41"/>
        <v>91.813379999999995</v>
      </c>
      <c r="G27" s="244">
        <f t="shared" si="41"/>
        <v>60</v>
      </c>
      <c r="H27" s="244">
        <f t="shared" si="41"/>
        <v>8</v>
      </c>
      <c r="I27" s="242">
        <f t="shared" si="41"/>
        <v>3.1749999999999998</v>
      </c>
      <c r="J27" s="243">
        <f t="shared" si="41"/>
        <v>6522.5675999999994</v>
      </c>
      <c r="K27" s="243">
        <f t="shared" si="41"/>
        <v>6670.9543999999996</v>
      </c>
      <c r="L27" s="243">
        <f t="shared" si="41"/>
        <v>146.05000000000001</v>
      </c>
      <c r="M27" s="245">
        <v>99</v>
      </c>
      <c r="N27" s="242">
        <v>0.152</v>
      </c>
      <c r="O27" s="246" t="s">
        <v>867</v>
      </c>
      <c r="P27" s="246" t="s">
        <v>868</v>
      </c>
      <c r="Q27" s="247">
        <v>2615000</v>
      </c>
      <c r="R27" s="247">
        <v>276</v>
      </c>
      <c r="S27" s="247">
        <v>202</v>
      </c>
      <c r="T27" s="247">
        <v>99</v>
      </c>
      <c r="U27" s="247">
        <v>296</v>
      </c>
      <c r="V27" s="248">
        <v>26147</v>
      </c>
      <c r="W27" s="192"/>
      <c r="X27" s="192"/>
      <c r="Y27" s="245">
        <f t="shared" si="3"/>
        <v>6521.2772800000002</v>
      </c>
      <c r="Z27" s="245">
        <f t="shared" ref="Z27" si="42">Z82/Z$56</f>
        <v>112.71250000000001</v>
      </c>
      <c r="AA27" s="1011"/>
      <c r="AB27" s="1011"/>
      <c r="AC27" s="1011"/>
      <c r="AD27" s="1011"/>
      <c r="AE27" s="14"/>
      <c r="AF27" s="14">
        <f t="shared" si="4"/>
        <v>92.271214999999998</v>
      </c>
      <c r="AG27" s="249"/>
      <c r="AH27" s="249"/>
      <c r="AI27" s="249"/>
      <c r="AJ27" s="250"/>
      <c r="AK27" s="249"/>
      <c r="AL27" s="249"/>
      <c r="AM27" s="249"/>
      <c r="AN27" s="249"/>
      <c r="AO27" s="249">
        <v>91.813379999999995</v>
      </c>
      <c r="AP27" s="249"/>
      <c r="AS27" s="277"/>
    </row>
    <row r="28" spans="1:45" ht="13.5" thickBot="1">
      <c r="A28" s="279">
        <v>21</v>
      </c>
      <c r="B28" s="280" t="s">
        <v>869</v>
      </c>
      <c r="C28" s="280" t="s">
        <v>834</v>
      </c>
      <c r="D28" s="281">
        <f t="shared" ref="D28:L28" si="43">D83/D$56</f>
        <v>101.6</v>
      </c>
      <c r="E28" s="282">
        <f t="shared" si="43"/>
        <v>99.537520000000001</v>
      </c>
      <c r="F28" s="282">
        <f t="shared" si="43"/>
        <v>98.163380000000004</v>
      </c>
      <c r="G28" s="283">
        <f t="shared" si="43"/>
        <v>60</v>
      </c>
      <c r="H28" s="283">
        <f t="shared" si="43"/>
        <v>8</v>
      </c>
      <c r="I28" s="281">
        <f t="shared" si="43"/>
        <v>3.1749999999999998</v>
      </c>
      <c r="J28" s="282">
        <f t="shared" si="43"/>
        <v>7464.5011999999997</v>
      </c>
      <c r="K28" s="282">
        <f t="shared" si="43"/>
        <v>7619.3396000000002</v>
      </c>
      <c r="L28" s="282">
        <f t="shared" si="43"/>
        <v>155.57499999999999</v>
      </c>
      <c r="M28" s="284">
        <v>105</v>
      </c>
      <c r="N28" s="281">
        <v>0.152</v>
      </c>
      <c r="O28" s="285" t="s">
        <v>867</v>
      </c>
      <c r="P28" s="285" t="s">
        <v>868</v>
      </c>
      <c r="Q28" s="286">
        <v>2615000</v>
      </c>
      <c r="R28" s="286">
        <v>276</v>
      </c>
      <c r="S28" s="286">
        <v>212</v>
      </c>
      <c r="T28" s="286">
        <v>105</v>
      </c>
      <c r="U28" s="286">
        <v>302</v>
      </c>
      <c r="V28" s="287">
        <v>26147</v>
      </c>
      <c r="W28" s="192"/>
      <c r="X28" s="192"/>
      <c r="Y28" s="245">
        <f t="shared" si="3"/>
        <v>7461.9205600000005</v>
      </c>
      <c r="Z28" s="245">
        <f t="shared" ref="Z28" si="44">Z83/Z$56</f>
        <v>117.47500000000001</v>
      </c>
      <c r="AA28" s="1011"/>
      <c r="AB28" s="1011"/>
      <c r="AC28" s="1011"/>
      <c r="AD28" s="1011"/>
      <c r="AE28" s="14"/>
      <c r="AF28" s="14">
        <f t="shared" si="4"/>
        <v>98.621214999999992</v>
      </c>
      <c r="AG28" s="249"/>
      <c r="AH28" s="249"/>
      <c r="AI28" s="249"/>
      <c r="AJ28" s="250"/>
      <c r="AK28" s="249"/>
      <c r="AL28" s="249"/>
      <c r="AM28" s="249"/>
      <c r="AN28" s="249"/>
      <c r="AO28" s="249">
        <v>98.163380000000004</v>
      </c>
      <c r="AP28" s="249"/>
      <c r="AS28" s="277"/>
    </row>
    <row r="29" spans="1:45">
      <c r="A29" s="288"/>
      <c r="B29" s="289" t="s">
        <v>870</v>
      </c>
      <c r="C29" s="290"/>
      <c r="D29" s="291"/>
      <c r="E29" s="291"/>
      <c r="F29" s="291"/>
      <c r="G29" s="292"/>
      <c r="H29" s="292"/>
      <c r="I29" s="291"/>
      <c r="J29" s="291"/>
      <c r="K29" s="291"/>
      <c r="L29" s="291"/>
      <c r="M29" s="293"/>
      <c r="N29" s="294"/>
      <c r="O29" s="295"/>
      <c r="P29" s="295"/>
      <c r="Q29" s="296"/>
      <c r="R29" s="296"/>
      <c r="S29" s="296"/>
      <c r="T29" s="296"/>
      <c r="U29" s="296"/>
      <c r="V29" s="297"/>
      <c r="W29" s="998"/>
      <c r="X29" s="998"/>
      <c r="Y29" s="998"/>
      <c r="Z29" s="998"/>
      <c r="AA29" s="998"/>
      <c r="AB29" s="998"/>
      <c r="AC29" s="998"/>
      <c r="AD29" s="998"/>
      <c r="AF29" s="14"/>
    </row>
    <row r="30" spans="1:45">
      <c r="A30" s="240">
        <v>23</v>
      </c>
      <c r="B30" s="298" t="s">
        <v>871</v>
      </c>
      <c r="C30" s="299" t="s">
        <v>872</v>
      </c>
      <c r="D30" s="243">
        <v>12</v>
      </c>
      <c r="E30" s="243">
        <v>10.863</v>
      </c>
      <c r="F30" s="243">
        <v>9.8529999999999998</v>
      </c>
      <c r="G30" s="244">
        <v>60</v>
      </c>
      <c r="H30" s="243">
        <f t="shared" ref="H30:H50" si="45">25.4/I30</f>
        <v>14.514285714285714</v>
      </c>
      <c r="I30" s="243">
        <v>1.75</v>
      </c>
      <c r="J30" s="243">
        <f t="shared" ref="J30:J51" si="46">0.25*PI()*F30^2</f>
        <v>76.247717408269182</v>
      </c>
      <c r="K30" s="243">
        <f t="shared" ref="K30:K51" si="47">0.25*PI()*(0.5*(E30+F30))^2</f>
        <v>84.26392695988423</v>
      </c>
      <c r="L30" s="243">
        <v>19</v>
      </c>
      <c r="M30" s="24">
        <v>14</v>
      </c>
      <c r="N30" s="242">
        <v>5.0999999999999997E-2</v>
      </c>
      <c r="O30" s="246"/>
      <c r="P30" s="246"/>
      <c r="Q30" s="246"/>
      <c r="R30" s="246"/>
      <c r="S30" s="246"/>
      <c r="T30" s="246"/>
      <c r="U30" s="246"/>
      <c r="V30" s="246"/>
      <c r="W30" s="193"/>
      <c r="X30" s="193"/>
      <c r="Y30" s="193">
        <v>72.397999999999996</v>
      </c>
      <c r="Z30" s="1004">
        <v>20.64</v>
      </c>
      <c r="AA30" s="1004">
        <v>15.88</v>
      </c>
      <c r="AB30" s="1004">
        <v>15.88</v>
      </c>
      <c r="AC30" s="1004">
        <v>31.75</v>
      </c>
      <c r="AD30" s="1004">
        <v>21</v>
      </c>
      <c r="AE30" s="14"/>
      <c r="AF30" s="14">
        <f>D30-0.9382*I30</f>
        <v>10.35815</v>
      </c>
    </row>
    <row r="31" spans="1:45">
      <c r="A31" s="300">
        <v>24</v>
      </c>
      <c r="B31" s="299" t="s">
        <v>873</v>
      </c>
      <c r="C31" s="299" t="s">
        <v>872</v>
      </c>
      <c r="D31" s="243">
        <v>14</v>
      </c>
      <c r="E31" s="243">
        <v>12.701000000000001</v>
      </c>
      <c r="F31" s="243">
        <v>11.545999999999999</v>
      </c>
      <c r="G31" s="244">
        <v>60</v>
      </c>
      <c r="H31" s="243">
        <f t="shared" si="45"/>
        <v>12.7</v>
      </c>
      <c r="I31" s="243">
        <v>2</v>
      </c>
      <c r="J31" s="243">
        <f t="shared" si="46"/>
        <v>104.70152026870078</v>
      </c>
      <c r="K31" s="243">
        <f t="shared" si="47"/>
        <v>115.43723477468026</v>
      </c>
      <c r="L31" s="243">
        <v>22</v>
      </c>
      <c r="M31" s="24"/>
      <c r="N31" s="242">
        <v>5.0999999999999997E-2</v>
      </c>
      <c r="O31" s="246"/>
      <c r="P31" s="246"/>
      <c r="Q31" s="246"/>
      <c r="R31" s="246"/>
      <c r="S31" s="246"/>
      <c r="T31" s="246"/>
      <c r="U31" s="246"/>
      <c r="V31" s="246"/>
      <c r="W31" s="193"/>
      <c r="X31" s="193"/>
      <c r="Y31" s="193"/>
      <c r="Z31" s="1004"/>
      <c r="AA31" s="1004"/>
      <c r="AB31" s="1004"/>
      <c r="AC31" s="1004"/>
      <c r="AD31" s="1004"/>
      <c r="AE31" s="14"/>
      <c r="AF31" s="14">
        <f>D31-0.9382*I31</f>
        <v>12.1236</v>
      </c>
    </row>
    <row r="32" spans="1:45">
      <c r="A32" s="240">
        <v>25</v>
      </c>
      <c r="B32" s="298" t="s">
        <v>874</v>
      </c>
      <c r="C32" s="299" t="s">
        <v>872</v>
      </c>
      <c r="D32" s="243">
        <v>16</v>
      </c>
      <c r="E32" s="243">
        <v>14.701000000000001</v>
      </c>
      <c r="F32" s="243">
        <v>13.545999999999999</v>
      </c>
      <c r="G32" s="244">
        <v>60</v>
      </c>
      <c r="H32" s="243">
        <f t="shared" si="45"/>
        <v>12.7</v>
      </c>
      <c r="I32" s="243">
        <v>2</v>
      </c>
      <c r="J32" s="243">
        <f t="shared" si="46"/>
        <v>144.11594170063833</v>
      </c>
      <c r="K32" s="243">
        <f t="shared" si="47"/>
        <v>156.66592596406591</v>
      </c>
      <c r="L32" s="243">
        <v>24</v>
      </c>
      <c r="M32" s="301">
        <v>18</v>
      </c>
      <c r="N32" s="242">
        <v>5.0999999999999997E-2</v>
      </c>
      <c r="O32" s="252" t="s">
        <v>827</v>
      </c>
      <c r="P32" s="246" t="s">
        <v>828</v>
      </c>
      <c r="Q32" s="247">
        <v>140300</v>
      </c>
      <c r="R32" s="247">
        <v>73.5</v>
      </c>
      <c r="S32" s="247">
        <v>55</v>
      </c>
      <c r="T32" s="247">
        <v>23.5</v>
      </c>
      <c r="U32" s="247">
        <v>160</v>
      </c>
      <c r="V32" s="248">
        <v>1357</v>
      </c>
      <c r="W32" s="192"/>
      <c r="X32" s="192"/>
      <c r="Y32" s="1003">
        <v>138.32400000000001</v>
      </c>
      <c r="Z32" s="1005">
        <v>28.54</v>
      </c>
      <c r="AA32" s="1006">
        <v>20.64</v>
      </c>
      <c r="AB32" s="1006">
        <v>20.64</v>
      </c>
      <c r="AC32" s="1006">
        <v>44.45</v>
      </c>
      <c r="AD32" s="1006">
        <v>27</v>
      </c>
      <c r="AE32" s="14"/>
      <c r="AF32" s="14">
        <f>D32-0.9382*I32</f>
        <v>14.1236</v>
      </c>
    </row>
    <row r="33" spans="1:32">
      <c r="A33" s="300">
        <v>26</v>
      </c>
      <c r="B33" s="299" t="s">
        <v>875</v>
      </c>
      <c r="C33" s="299" t="s">
        <v>872</v>
      </c>
      <c r="D33" s="243">
        <v>18</v>
      </c>
      <c r="E33" s="243">
        <v>16.376000000000001</v>
      </c>
      <c r="F33" s="243">
        <v>14.933</v>
      </c>
      <c r="G33" s="244">
        <v>60</v>
      </c>
      <c r="H33" s="243">
        <f t="shared" si="45"/>
        <v>10.16</v>
      </c>
      <c r="I33" s="243">
        <v>2.5</v>
      </c>
      <c r="J33" s="243">
        <f t="shared" si="46"/>
        <v>175.13946210835246</v>
      </c>
      <c r="K33" s="243">
        <f t="shared" si="47"/>
        <v>192.47232091033888</v>
      </c>
      <c r="L33" s="243">
        <v>27</v>
      </c>
      <c r="M33" s="24"/>
      <c r="N33" s="242">
        <v>5.0999999999999997E-2</v>
      </c>
      <c r="O33" s="246" t="s">
        <v>827</v>
      </c>
      <c r="P33" s="246" t="s">
        <v>828</v>
      </c>
      <c r="Q33" s="247">
        <v>140300</v>
      </c>
      <c r="R33" s="247">
        <v>73.5</v>
      </c>
      <c r="S33" s="247">
        <v>55</v>
      </c>
      <c r="T33" s="247">
        <v>23.5</v>
      </c>
      <c r="U33" s="247">
        <v>160</v>
      </c>
      <c r="V33" s="248">
        <v>1357</v>
      </c>
      <c r="W33" s="192"/>
      <c r="X33" s="192"/>
      <c r="Y33" s="192"/>
      <c r="Z33" s="1006"/>
      <c r="AA33" s="1006"/>
      <c r="AB33" s="1006"/>
      <c r="AC33" s="1006"/>
      <c r="AD33" s="1006"/>
      <c r="AE33" s="14"/>
      <c r="AF33" s="14">
        <f t="shared" ref="AF33:AF53" si="48">D33-0.9382*I33</f>
        <v>15.654500000000001</v>
      </c>
    </row>
    <row r="34" spans="1:32">
      <c r="A34" s="240">
        <v>27</v>
      </c>
      <c r="B34" s="298" t="s">
        <v>876</v>
      </c>
      <c r="C34" s="299" t="s">
        <v>872</v>
      </c>
      <c r="D34" s="243">
        <v>20</v>
      </c>
      <c r="E34" s="243">
        <v>18.376000000000001</v>
      </c>
      <c r="F34" s="243">
        <v>16.933</v>
      </c>
      <c r="G34" s="244">
        <v>60</v>
      </c>
      <c r="H34" s="243">
        <f t="shared" si="45"/>
        <v>10.16</v>
      </c>
      <c r="I34" s="243">
        <v>2.5</v>
      </c>
      <c r="J34" s="243">
        <f t="shared" si="46"/>
        <v>225.19445785799866</v>
      </c>
      <c r="K34" s="243">
        <f t="shared" si="47"/>
        <v>244.79397575955002</v>
      </c>
      <c r="L34" s="243">
        <v>30</v>
      </c>
      <c r="M34" s="24">
        <v>22</v>
      </c>
      <c r="N34" s="242">
        <v>5.0999999999999997E-2</v>
      </c>
      <c r="O34" s="246" t="s">
        <v>827</v>
      </c>
      <c r="P34" s="246" t="s">
        <v>828</v>
      </c>
      <c r="Q34" s="247">
        <v>140300</v>
      </c>
      <c r="R34" s="247">
        <v>73.5</v>
      </c>
      <c r="S34" s="247">
        <v>61</v>
      </c>
      <c r="T34" s="247">
        <v>26.5</v>
      </c>
      <c r="U34" s="247">
        <v>160</v>
      </c>
      <c r="V34" s="248">
        <v>1357</v>
      </c>
      <c r="W34" s="192"/>
      <c r="X34" s="192"/>
      <c r="Y34" s="1003">
        <v>217.05099999999999</v>
      </c>
      <c r="Z34" s="1006">
        <v>31.75</v>
      </c>
      <c r="AA34" s="1006">
        <v>23.81</v>
      </c>
      <c r="AB34" s="1006">
        <v>23.81</v>
      </c>
      <c r="AC34" s="1006">
        <v>52.39</v>
      </c>
      <c r="AD34" s="1006">
        <v>34</v>
      </c>
      <c r="AE34" s="14"/>
      <c r="AF34" s="14">
        <f t="shared" si="48"/>
        <v>17.654499999999999</v>
      </c>
    </row>
    <row r="35" spans="1:32">
      <c r="A35" s="300">
        <v>28</v>
      </c>
      <c r="B35" s="299" t="s">
        <v>877</v>
      </c>
      <c r="C35" s="299" t="s">
        <v>872</v>
      </c>
      <c r="D35" s="243">
        <v>22</v>
      </c>
      <c r="E35" s="243">
        <v>20.376000000000001</v>
      </c>
      <c r="F35" s="243">
        <v>18.933</v>
      </c>
      <c r="G35" s="244">
        <v>60</v>
      </c>
      <c r="H35" s="243">
        <f t="shared" si="45"/>
        <v>10.16</v>
      </c>
      <c r="I35" s="243">
        <v>2.5</v>
      </c>
      <c r="J35" s="243">
        <f t="shared" si="46"/>
        <v>281.53263891482442</v>
      </c>
      <c r="K35" s="243">
        <f t="shared" si="47"/>
        <v>303.39881591594082</v>
      </c>
      <c r="L35" s="243">
        <v>32</v>
      </c>
      <c r="M35" s="24"/>
      <c r="N35" s="242">
        <v>5.0999999999999997E-2</v>
      </c>
      <c r="O35" s="246" t="s">
        <v>827</v>
      </c>
      <c r="P35" s="246" t="s">
        <v>828</v>
      </c>
      <c r="Q35" s="247">
        <v>140300</v>
      </c>
      <c r="R35" s="247">
        <v>73.5</v>
      </c>
      <c r="S35" s="247">
        <v>61</v>
      </c>
      <c r="T35" s="247">
        <v>26.5</v>
      </c>
      <c r="U35" s="247">
        <v>160</v>
      </c>
      <c r="V35" s="248">
        <v>1357</v>
      </c>
      <c r="W35" s="192"/>
      <c r="X35" s="192"/>
      <c r="Y35" s="1003">
        <v>272.41899999999998</v>
      </c>
      <c r="Z35" s="1006">
        <v>33.340000000000003</v>
      </c>
      <c r="AA35" s="1006">
        <v>25.4</v>
      </c>
      <c r="AB35" s="1006">
        <v>25.4</v>
      </c>
      <c r="AC35" s="1006">
        <v>53.98</v>
      </c>
      <c r="AD35" s="1006">
        <v>36</v>
      </c>
      <c r="AE35" s="14"/>
      <c r="AF35" s="14">
        <f t="shared" si="48"/>
        <v>19.654499999999999</v>
      </c>
    </row>
    <row r="36" spans="1:32">
      <c r="A36" s="240">
        <v>29</v>
      </c>
      <c r="B36" s="298" t="s">
        <v>878</v>
      </c>
      <c r="C36" s="299" t="s">
        <v>872</v>
      </c>
      <c r="D36" s="243">
        <v>24</v>
      </c>
      <c r="E36" s="243">
        <v>22.050999999999998</v>
      </c>
      <c r="F36" s="243">
        <v>20.318999999999999</v>
      </c>
      <c r="G36" s="244">
        <v>60</v>
      </c>
      <c r="H36" s="243">
        <f t="shared" si="45"/>
        <v>8.4666666666666668</v>
      </c>
      <c r="I36" s="243">
        <v>3</v>
      </c>
      <c r="J36" s="243">
        <f t="shared" si="46"/>
        <v>324.26086882643619</v>
      </c>
      <c r="K36" s="243">
        <f t="shared" si="47"/>
        <v>352.49001404001513</v>
      </c>
      <c r="L36" s="243">
        <v>36</v>
      </c>
      <c r="M36" s="24">
        <v>26</v>
      </c>
      <c r="N36" s="242">
        <v>7.5999999999999998E-2</v>
      </c>
      <c r="O36" s="252" t="s">
        <v>831</v>
      </c>
      <c r="P36" s="246" t="s">
        <v>832</v>
      </c>
      <c r="Q36" s="247">
        <v>235500</v>
      </c>
      <c r="R36" s="247">
        <v>86</v>
      </c>
      <c r="S36" s="247">
        <v>64</v>
      </c>
      <c r="T36" s="247">
        <v>29.5</v>
      </c>
      <c r="U36" s="247">
        <v>180</v>
      </c>
      <c r="V36" s="248">
        <v>2277</v>
      </c>
      <c r="W36" s="192"/>
      <c r="X36" s="192"/>
      <c r="Y36" s="1003">
        <v>312.74799999999999</v>
      </c>
      <c r="Z36" s="1006">
        <v>36.51</v>
      </c>
      <c r="AA36" s="1006">
        <v>28.58</v>
      </c>
      <c r="AB36" s="1006">
        <v>28.58</v>
      </c>
      <c r="AC36" s="1006">
        <v>58.74</v>
      </c>
      <c r="AD36" s="1006">
        <v>41</v>
      </c>
      <c r="AE36" s="14"/>
      <c r="AF36" s="14">
        <f t="shared" si="48"/>
        <v>21.185400000000001</v>
      </c>
    </row>
    <row r="37" spans="1:32">
      <c r="A37" s="300">
        <v>30</v>
      </c>
      <c r="B37" s="299" t="s">
        <v>879</v>
      </c>
      <c r="C37" s="299" t="s">
        <v>872</v>
      </c>
      <c r="D37" s="243">
        <v>27</v>
      </c>
      <c r="E37" s="243">
        <v>25.050999999999998</v>
      </c>
      <c r="F37" s="243">
        <v>23.318999999999999</v>
      </c>
      <c r="G37" s="244">
        <v>60</v>
      </c>
      <c r="H37" s="243">
        <f t="shared" si="45"/>
        <v>8.4666666666666668</v>
      </c>
      <c r="I37" s="243">
        <v>3</v>
      </c>
      <c r="J37" s="243">
        <f t="shared" si="46"/>
        <v>427.08048398944976</v>
      </c>
      <c r="K37" s="243">
        <f t="shared" si="47"/>
        <v>459.39055806004183</v>
      </c>
      <c r="L37" s="243">
        <v>41</v>
      </c>
      <c r="M37" s="24">
        <v>30</v>
      </c>
      <c r="N37" s="242">
        <v>7.5999999999999998E-2</v>
      </c>
      <c r="O37" s="252" t="s">
        <v>831</v>
      </c>
      <c r="P37" s="246" t="s">
        <v>832</v>
      </c>
      <c r="Q37" s="247">
        <v>235500</v>
      </c>
      <c r="R37" s="247">
        <v>86</v>
      </c>
      <c r="S37" s="247">
        <v>72</v>
      </c>
      <c r="T37" s="247">
        <v>32</v>
      </c>
      <c r="U37" s="247">
        <v>185</v>
      </c>
      <c r="V37" s="248">
        <v>2277</v>
      </c>
      <c r="W37" s="192"/>
      <c r="X37" s="192"/>
      <c r="Y37" s="1003">
        <v>413.85199999999998</v>
      </c>
      <c r="Z37" s="1006">
        <v>38.1</v>
      </c>
      <c r="AA37" s="1006">
        <v>29</v>
      </c>
      <c r="AB37" s="1006">
        <v>29</v>
      </c>
      <c r="AC37" s="1006">
        <v>63.5</v>
      </c>
      <c r="AD37" s="1006">
        <v>46</v>
      </c>
      <c r="AE37" s="14"/>
      <c r="AF37" s="14">
        <f t="shared" si="48"/>
        <v>24.185400000000001</v>
      </c>
    </row>
    <row r="38" spans="1:32">
      <c r="A38" s="240">
        <v>31</v>
      </c>
      <c r="B38" s="298" t="s">
        <v>880</v>
      </c>
      <c r="C38" s="299" t="s">
        <v>872</v>
      </c>
      <c r="D38" s="243">
        <v>30</v>
      </c>
      <c r="E38" s="243">
        <v>27.727</v>
      </c>
      <c r="F38" s="243">
        <v>25.706</v>
      </c>
      <c r="G38" s="244">
        <v>60</v>
      </c>
      <c r="H38" s="243">
        <f t="shared" si="45"/>
        <v>7.2571428571428571</v>
      </c>
      <c r="I38" s="243">
        <v>3.5</v>
      </c>
      <c r="J38" s="243">
        <f t="shared" si="46"/>
        <v>518.98987801030626</v>
      </c>
      <c r="K38" s="243">
        <f t="shared" si="47"/>
        <v>560.59472485082642</v>
      </c>
      <c r="L38" s="243">
        <v>46</v>
      </c>
      <c r="M38" s="24">
        <v>33</v>
      </c>
      <c r="N38" s="242">
        <v>7.5999999999999998E-2</v>
      </c>
      <c r="O38" s="246" t="s">
        <v>836</v>
      </c>
      <c r="P38" s="246" t="s">
        <v>837</v>
      </c>
      <c r="Q38" s="247">
        <v>360300</v>
      </c>
      <c r="R38" s="247">
        <v>107</v>
      </c>
      <c r="S38" s="247">
        <v>79</v>
      </c>
      <c r="T38" s="247">
        <v>36</v>
      </c>
      <c r="U38" s="247">
        <v>197</v>
      </c>
      <c r="V38" s="248">
        <v>3484</v>
      </c>
      <c r="W38" s="192"/>
      <c r="X38" s="192"/>
      <c r="Y38" s="1003">
        <v>502.96499999999997</v>
      </c>
      <c r="Z38" s="1006">
        <v>46.04</v>
      </c>
      <c r="AA38" s="1006">
        <v>33.340000000000003</v>
      </c>
      <c r="AB38" s="1006">
        <v>33.340000000000003</v>
      </c>
      <c r="AC38" s="1006">
        <v>73.03</v>
      </c>
      <c r="AD38" s="1006">
        <v>50</v>
      </c>
      <c r="AE38" s="14"/>
      <c r="AF38" s="14">
        <f t="shared" si="48"/>
        <v>26.7163</v>
      </c>
    </row>
    <row r="39" spans="1:32">
      <c r="A39" s="300">
        <v>32</v>
      </c>
      <c r="B39" s="299" t="s">
        <v>881</v>
      </c>
      <c r="C39" s="299" t="s">
        <v>872</v>
      </c>
      <c r="D39" s="243">
        <v>33</v>
      </c>
      <c r="E39" s="243">
        <v>30.727</v>
      </c>
      <c r="F39" s="243">
        <v>28.706</v>
      </c>
      <c r="G39" s="244">
        <v>60</v>
      </c>
      <c r="H39" s="243">
        <f t="shared" si="45"/>
        <v>7.2571428571428571</v>
      </c>
      <c r="I39" s="243">
        <v>3.5</v>
      </c>
      <c r="J39" s="243">
        <f t="shared" si="46"/>
        <v>647.19513261065219</v>
      </c>
      <c r="K39" s="243">
        <f t="shared" si="47"/>
        <v>693.56184851585101</v>
      </c>
      <c r="L39" s="243">
        <v>50</v>
      </c>
      <c r="M39" s="24">
        <v>36</v>
      </c>
      <c r="N39" s="242">
        <v>7.5999999999999998E-2</v>
      </c>
      <c r="O39" s="246" t="s">
        <v>836</v>
      </c>
      <c r="P39" s="246" t="s">
        <v>837</v>
      </c>
      <c r="Q39" s="247">
        <v>360300</v>
      </c>
      <c r="R39" s="247">
        <v>107</v>
      </c>
      <c r="S39" s="247">
        <v>79</v>
      </c>
      <c r="T39" s="247">
        <v>36</v>
      </c>
      <c r="U39" s="247">
        <v>197</v>
      </c>
      <c r="V39" s="248">
        <v>3484</v>
      </c>
      <c r="W39" s="192"/>
      <c r="X39" s="192"/>
      <c r="Y39" s="192"/>
      <c r="Z39" s="1006"/>
      <c r="AA39" s="1006"/>
      <c r="AB39" s="1006"/>
      <c r="AC39" s="1006"/>
      <c r="AD39" s="1006"/>
      <c r="AE39" s="14"/>
      <c r="AF39" s="14">
        <f t="shared" si="48"/>
        <v>29.7163</v>
      </c>
    </row>
    <row r="40" spans="1:32">
      <c r="A40" s="240">
        <v>33</v>
      </c>
      <c r="B40" s="298" t="s">
        <v>882</v>
      </c>
      <c r="C40" s="299" t="s">
        <v>872</v>
      </c>
      <c r="D40" s="243">
        <v>36</v>
      </c>
      <c r="E40" s="243">
        <v>33.402000000000001</v>
      </c>
      <c r="F40" s="243">
        <v>31.093</v>
      </c>
      <c r="G40" s="244">
        <v>60</v>
      </c>
      <c r="H40" s="243">
        <f t="shared" si="45"/>
        <v>6.35</v>
      </c>
      <c r="I40" s="243">
        <v>4</v>
      </c>
      <c r="J40" s="243">
        <f t="shared" si="46"/>
        <v>759.30303374381265</v>
      </c>
      <c r="K40" s="243">
        <f t="shared" si="47"/>
        <v>816.73653677344942</v>
      </c>
      <c r="L40" s="243">
        <v>55</v>
      </c>
      <c r="M40" s="24">
        <v>39</v>
      </c>
      <c r="N40" s="242">
        <v>0.10199999999999999</v>
      </c>
      <c r="O40" s="246" t="s">
        <v>836</v>
      </c>
      <c r="P40" s="246" t="s">
        <v>837</v>
      </c>
      <c r="Q40" s="247">
        <v>360300</v>
      </c>
      <c r="R40" s="247">
        <v>107</v>
      </c>
      <c r="S40" s="247">
        <v>82</v>
      </c>
      <c r="T40" s="247">
        <v>39</v>
      </c>
      <c r="U40" s="247">
        <v>200</v>
      </c>
      <c r="V40" s="248">
        <v>3484</v>
      </c>
      <c r="W40" s="192"/>
      <c r="X40" s="192"/>
      <c r="Y40" s="1003">
        <v>738.01499999999999</v>
      </c>
      <c r="Z40" s="1006">
        <v>53.97</v>
      </c>
      <c r="AA40" s="1006">
        <v>39.69</v>
      </c>
      <c r="AB40" s="1006">
        <v>39.69</v>
      </c>
      <c r="AC40" s="1006">
        <v>84.14</v>
      </c>
      <c r="AD40" s="1006">
        <v>60</v>
      </c>
      <c r="AE40" s="14"/>
      <c r="AF40" s="14">
        <f t="shared" si="48"/>
        <v>32.247199999999999</v>
      </c>
    </row>
    <row r="41" spans="1:32">
      <c r="A41" s="300">
        <v>34</v>
      </c>
      <c r="B41" s="299" t="s">
        <v>883</v>
      </c>
      <c r="C41" s="299" t="s">
        <v>872</v>
      </c>
      <c r="D41" s="243">
        <v>39</v>
      </c>
      <c r="E41" s="243">
        <v>36.402000000000001</v>
      </c>
      <c r="F41" s="243">
        <v>34.093000000000004</v>
      </c>
      <c r="G41" s="244">
        <v>60</v>
      </c>
      <c r="H41" s="243">
        <f t="shared" si="45"/>
        <v>6.35</v>
      </c>
      <c r="I41" s="243">
        <v>4</v>
      </c>
      <c r="J41" s="243">
        <f t="shared" si="46"/>
        <v>912.89392778149102</v>
      </c>
      <c r="K41" s="243">
        <f t="shared" si="47"/>
        <v>975.7678838889816</v>
      </c>
      <c r="L41" s="243">
        <v>60</v>
      </c>
      <c r="M41" s="24">
        <v>42</v>
      </c>
      <c r="N41" s="242">
        <v>0.10199999999999999</v>
      </c>
      <c r="O41" s="246" t="s">
        <v>840</v>
      </c>
      <c r="P41" s="246" t="s">
        <v>841</v>
      </c>
      <c r="Q41" s="247">
        <v>428000</v>
      </c>
      <c r="R41" s="247">
        <v>117</v>
      </c>
      <c r="S41" s="247">
        <v>86</v>
      </c>
      <c r="T41" s="247">
        <v>42</v>
      </c>
      <c r="U41" s="247">
        <v>213</v>
      </c>
      <c r="V41" s="248">
        <v>4276</v>
      </c>
      <c r="W41" s="192"/>
      <c r="X41" s="192"/>
      <c r="Y41" s="192"/>
      <c r="Z41" s="1006"/>
      <c r="AA41" s="1006"/>
      <c r="AB41" s="1006"/>
      <c r="AC41" s="1006"/>
      <c r="AD41" s="1006"/>
      <c r="AE41" s="14"/>
      <c r="AF41" s="14">
        <f t="shared" si="48"/>
        <v>35.247199999999999</v>
      </c>
    </row>
    <row r="42" spans="1:32">
      <c r="A42" s="240">
        <v>35</v>
      </c>
      <c r="B42" s="298" t="s">
        <v>884</v>
      </c>
      <c r="C42" s="299" t="s">
        <v>872</v>
      </c>
      <c r="D42" s="243">
        <v>42</v>
      </c>
      <c r="E42" s="243">
        <v>39.076999999999998</v>
      </c>
      <c r="F42" s="243">
        <v>36.478999999999999</v>
      </c>
      <c r="G42" s="244">
        <v>60</v>
      </c>
      <c r="H42" s="243">
        <f t="shared" si="45"/>
        <v>5.6444444444444439</v>
      </c>
      <c r="I42" s="243">
        <v>4.5</v>
      </c>
      <c r="J42" s="243">
        <f t="shared" si="46"/>
        <v>1045.1430341623523</v>
      </c>
      <c r="K42" s="243">
        <f t="shared" si="47"/>
        <v>1120.9024176961584</v>
      </c>
      <c r="L42" s="243">
        <v>65</v>
      </c>
      <c r="M42" s="24"/>
      <c r="N42" s="242">
        <v>0.10199999999999999</v>
      </c>
      <c r="O42" s="246" t="s">
        <v>843</v>
      </c>
      <c r="P42" s="246" t="s">
        <v>844</v>
      </c>
      <c r="Q42" s="247">
        <v>591000</v>
      </c>
      <c r="R42" s="247">
        <v>136</v>
      </c>
      <c r="S42" s="247">
        <v>100</v>
      </c>
      <c r="T42" s="247">
        <v>45</v>
      </c>
      <c r="U42" s="247">
        <v>214</v>
      </c>
      <c r="V42" s="248">
        <v>5909</v>
      </c>
      <c r="W42" s="192"/>
      <c r="X42" s="192"/>
      <c r="Y42" s="1003">
        <v>1018.218</v>
      </c>
      <c r="Z42" s="1006">
        <v>61.91</v>
      </c>
      <c r="AA42" s="1006"/>
      <c r="AB42" s="1006">
        <v>49.21</v>
      </c>
      <c r="AC42" s="1006">
        <v>100</v>
      </c>
      <c r="AD42" s="1006">
        <v>70</v>
      </c>
      <c r="AE42" s="14"/>
      <c r="AF42" s="14">
        <f t="shared" si="48"/>
        <v>37.778100000000002</v>
      </c>
    </row>
    <row r="43" spans="1:32">
      <c r="A43" s="300">
        <v>36</v>
      </c>
      <c r="B43" s="299" t="s">
        <v>885</v>
      </c>
      <c r="C43" s="299" t="s">
        <v>872</v>
      </c>
      <c r="D43" s="243">
        <v>45</v>
      </c>
      <c r="E43" s="243">
        <v>42.076999999999998</v>
      </c>
      <c r="F43" s="243">
        <v>39.478999999999999</v>
      </c>
      <c r="G43" s="244">
        <v>60</v>
      </c>
      <c r="H43" s="243">
        <f t="shared" si="45"/>
        <v>5.6444444444444439</v>
      </c>
      <c r="I43" s="243">
        <v>4.5</v>
      </c>
      <c r="J43" s="243">
        <f t="shared" si="46"/>
        <v>1224.1148552483824</v>
      </c>
      <c r="K43" s="243">
        <f t="shared" si="47"/>
        <v>1305.9956320677084</v>
      </c>
      <c r="L43" s="243">
        <v>70</v>
      </c>
      <c r="M43" s="24">
        <v>48</v>
      </c>
      <c r="N43" s="242">
        <v>0.10199999999999999</v>
      </c>
      <c r="O43" s="246" t="s">
        <v>843</v>
      </c>
      <c r="P43" s="246" t="s">
        <v>844</v>
      </c>
      <c r="Q43" s="247">
        <v>591000</v>
      </c>
      <c r="R43" s="247">
        <v>136</v>
      </c>
      <c r="S43" s="247">
        <v>100</v>
      </c>
      <c r="T43" s="247">
        <v>49</v>
      </c>
      <c r="U43" s="247">
        <v>217</v>
      </c>
      <c r="V43" s="248">
        <v>5909</v>
      </c>
      <c r="W43" s="192"/>
      <c r="X43" s="192"/>
      <c r="Y43" s="192"/>
      <c r="Z43" s="1006"/>
      <c r="AA43" s="1006"/>
      <c r="AB43" s="1006"/>
      <c r="AC43" s="1006"/>
      <c r="AD43" s="1006"/>
      <c r="AE43" s="14"/>
      <c r="AF43" s="14">
        <f t="shared" si="48"/>
        <v>40.778100000000002</v>
      </c>
    </row>
    <row r="44" spans="1:32">
      <c r="A44" s="240">
        <v>37</v>
      </c>
      <c r="B44" s="298" t="s">
        <v>886</v>
      </c>
      <c r="C44" s="299" t="s">
        <v>872</v>
      </c>
      <c r="D44" s="243">
        <v>48</v>
      </c>
      <c r="E44" s="243">
        <v>44.752000000000002</v>
      </c>
      <c r="F44" s="243">
        <v>41.866</v>
      </c>
      <c r="G44" s="244">
        <v>60</v>
      </c>
      <c r="H44" s="243">
        <f t="shared" si="45"/>
        <v>5.08</v>
      </c>
      <c r="I44" s="243">
        <v>5</v>
      </c>
      <c r="J44" s="243">
        <f t="shared" si="46"/>
        <v>1376.6160211153192</v>
      </c>
      <c r="K44" s="243">
        <f t="shared" si="47"/>
        <v>1473.1473655180448</v>
      </c>
      <c r="L44" s="243">
        <v>75</v>
      </c>
      <c r="M44" s="245"/>
      <c r="N44" s="242">
        <v>0.10199999999999999</v>
      </c>
      <c r="O44" s="246" t="s">
        <v>847</v>
      </c>
      <c r="P44" s="246" t="s">
        <v>848</v>
      </c>
      <c r="Q44" s="247">
        <v>788000</v>
      </c>
      <c r="R44" s="247">
        <v>150</v>
      </c>
      <c r="S44" s="247">
        <v>112</v>
      </c>
      <c r="T44" s="247">
        <v>51</v>
      </c>
      <c r="U44" s="247">
        <v>222</v>
      </c>
      <c r="V44" s="248">
        <v>7881</v>
      </c>
      <c r="W44" s="192"/>
      <c r="X44" s="192"/>
      <c r="Y44" s="1003">
        <v>1342.9590000000001</v>
      </c>
      <c r="Z44" s="1006">
        <v>68.260000000000005</v>
      </c>
      <c r="AA44" s="1006"/>
      <c r="AB44" s="1006">
        <v>55.56</v>
      </c>
      <c r="AC44" s="1006">
        <v>112.71</v>
      </c>
      <c r="AD44" s="1006">
        <v>80</v>
      </c>
      <c r="AE44" s="14"/>
      <c r="AF44" s="14">
        <f t="shared" si="48"/>
        <v>43.308999999999997</v>
      </c>
    </row>
    <row r="45" spans="1:32">
      <c r="A45" s="300">
        <v>38</v>
      </c>
      <c r="B45" s="299" t="s">
        <v>887</v>
      </c>
      <c r="C45" s="299" t="s">
        <v>872</v>
      </c>
      <c r="D45" s="243">
        <v>52</v>
      </c>
      <c r="E45" s="243">
        <v>48.752000000000002</v>
      </c>
      <c r="F45" s="243">
        <v>45.866</v>
      </c>
      <c r="G45" s="244">
        <v>60</v>
      </c>
      <c r="H45" s="243">
        <f t="shared" si="45"/>
        <v>5.08</v>
      </c>
      <c r="I45" s="243">
        <v>5</v>
      </c>
      <c r="J45" s="243">
        <f t="shared" si="46"/>
        <v>1652.234227800059</v>
      </c>
      <c r="K45" s="243">
        <f t="shared" si="47"/>
        <v>1757.8322086010446</v>
      </c>
      <c r="L45" s="243">
        <v>80</v>
      </c>
      <c r="M45" s="245">
        <v>56</v>
      </c>
      <c r="N45" s="242">
        <v>0.127</v>
      </c>
      <c r="O45" s="246" t="s">
        <v>847</v>
      </c>
      <c r="P45" s="246" t="s">
        <v>848</v>
      </c>
      <c r="Q45" s="247">
        <v>788000</v>
      </c>
      <c r="R45" s="247">
        <v>150</v>
      </c>
      <c r="S45" s="247">
        <v>112</v>
      </c>
      <c r="T45" s="247">
        <v>54</v>
      </c>
      <c r="U45" s="247">
        <v>225</v>
      </c>
      <c r="V45" s="248">
        <v>7881</v>
      </c>
      <c r="W45" s="192"/>
      <c r="X45" s="192"/>
      <c r="Y45" s="192"/>
      <c r="Z45" s="1006"/>
      <c r="AA45" s="1006"/>
      <c r="AB45" s="1006"/>
      <c r="AC45" s="1006"/>
      <c r="AD45" s="1006"/>
      <c r="AE45" s="14"/>
      <c r="AF45" s="14">
        <f t="shared" si="48"/>
        <v>47.308999999999997</v>
      </c>
    </row>
    <row r="46" spans="1:32">
      <c r="A46" s="240">
        <v>39</v>
      </c>
      <c r="B46" s="298" t="s">
        <v>888</v>
      </c>
      <c r="C46" s="299" t="s">
        <v>872</v>
      </c>
      <c r="D46" s="243">
        <v>56</v>
      </c>
      <c r="E46" s="243">
        <v>52.427999999999997</v>
      </c>
      <c r="F46" s="243">
        <v>49.252000000000002</v>
      </c>
      <c r="G46" s="244">
        <v>60</v>
      </c>
      <c r="H46" s="243">
        <f t="shared" si="45"/>
        <v>4.6181818181818182</v>
      </c>
      <c r="I46" s="243">
        <v>5.5</v>
      </c>
      <c r="J46" s="243">
        <f t="shared" si="46"/>
        <v>1905.1870592855053</v>
      </c>
      <c r="K46" s="243">
        <f t="shared" si="47"/>
        <v>2030.0230311630999</v>
      </c>
      <c r="L46" s="243">
        <v>85</v>
      </c>
      <c r="M46" s="245">
        <v>62</v>
      </c>
      <c r="N46" s="242">
        <v>0.127</v>
      </c>
      <c r="O46" s="246" t="s">
        <v>851</v>
      </c>
      <c r="P46" s="246" t="s">
        <v>852</v>
      </c>
      <c r="Q46" s="247">
        <v>989000</v>
      </c>
      <c r="R46" s="247">
        <v>169</v>
      </c>
      <c r="S46" s="247">
        <v>128</v>
      </c>
      <c r="T46" s="247">
        <v>59</v>
      </c>
      <c r="U46" s="247">
        <v>231</v>
      </c>
      <c r="V46" s="248">
        <v>9893</v>
      </c>
      <c r="W46" s="192"/>
      <c r="X46" s="192"/>
      <c r="Y46" s="1003">
        <v>1862.7249999999999</v>
      </c>
      <c r="Z46" s="1006">
        <v>76.2</v>
      </c>
      <c r="AA46" s="1006"/>
      <c r="AB46" s="1006">
        <v>63.5</v>
      </c>
      <c r="AC46" s="1006">
        <v>127</v>
      </c>
      <c r="AD46" s="1006">
        <v>90</v>
      </c>
      <c r="AE46" s="14"/>
      <c r="AF46" s="14">
        <f t="shared" si="48"/>
        <v>50.8399</v>
      </c>
    </row>
    <row r="47" spans="1:32">
      <c r="A47" s="300">
        <v>40</v>
      </c>
      <c r="B47" s="299" t="s">
        <v>889</v>
      </c>
      <c r="C47" s="299" t="s">
        <v>872</v>
      </c>
      <c r="D47" s="243">
        <v>60</v>
      </c>
      <c r="E47" s="243">
        <v>56.427999999999997</v>
      </c>
      <c r="F47" s="243">
        <v>53.252000000000002</v>
      </c>
      <c r="G47" s="244">
        <v>60</v>
      </c>
      <c r="H47" s="243">
        <f t="shared" si="45"/>
        <v>4.6181818181818182</v>
      </c>
      <c r="I47" s="243">
        <v>5.5</v>
      </c>
      <c r="J47" s="243">
        <f t="shared" si="46"/>
        <v>2227.2128726490732</v>
      </c>
      <c r="K47" s="243">
        <f t="shared" si="47"/>
        <v>2362.0265427944692</v>
      </c>
      <c r="L47" s="243">
        <v>90</v>
      </c>
      <c r="M47" s="245"/>
      <c r="N47" s="242">
        <v>0.127</v>
      </c>
      <c r="O47" s="246" t="s">
        <v>854</v>
      </c>
      <c r="P47" s="246" t="s">
        <v>855</v>
      </c>
      <c r="Q47" s="247">
        <v>1318000</v>
      </c>
      <c r="R47" s="247">
        <v>190</v>
      </c>
      <c r="S47" s="247">
        <v>141</v>
      </c>
      <c r="T47" s="247">
        <v>65</v>
      </c>
      <c r="U47" s="247">
        <v>248</v>
      </c>
      <c r="V47" s="248">
        <v>12743</v>
      </c>
      <c r="W47" s="192"/>
      <c r="X47" s="192"/>
      <c r="Y47" s="192"/>
      <c r="Z47" s="1006"/>
      <c r="AA47" s="1006"/>
      <c r="AB47" s="1006"/>
      <c r="AC47" s="1006"/>
      <c r="AD47" s="1006"/>
      <c r="AE47" s="14"/>
      <c r="AF47" s="14">
        <f t="shared" si="48"/>
        <v>54.8399</v>
      </c>
    </row>
    <row r="48" spans="1:32">
      <c r="A48" s="240">
        <v>41</v>
      </c>
      <c r="B48" s="298" t="s">
        <v>890</v>
      </c>
      <c r="C48" s="299" t="s">
        <v>872</v>
      </c>
      <c r="D48" s="243">
        <v>64</v>
      </c>
      <c r="E48" s="243">
        <v>60.103000000000002</v>
      </c>
      <c r="F48" s="243">
        <v>56.639000000000003</v>
      </c>
      <c r="G48" s="244">
        <v>60</v>
      </c>
      <c r="H48" s="243">
        <f t="shared" si="45"/>
        <v>4.2333333333333334</v>
      </c>
      <c r="I48" s="243">
        <v>6</v>
      </c>
      <c r="J48" s="243">
        <f t="shared" si="46"/>
        <v>2519.5387107359034</v>
      </c>
      <c r="K48" s="243">
        <f t="shared" si="47"/>
        <v>2675.9879200175969</v>
      </c>
      <c r="L48" s="243">
        <v>95</v>
      </c>
      <c r="M48" s="245"/>
      <c r="N48" s="242">
        <v>0.127</v>
      </c>
      <c r="O48" s="246" t="s">
        <v>854</v>
      </c>
      <c r="P48" s="246" t="s">
        <v>855</v>
      </c>
      <c r="Q48" s="247">
        <v>1318000</v>
      </c>
      <c r="R48" s="247">
        <v>190</v>
      </c>
      <c r="S48" s="247">
        <v>141</v>
      </c>
      <c r="T48" s="247">
        <v>65</v>
      </c>
      <c r="U48" s="247">
        <v>248</v>
      </c>
      <c r="V48" s="248">
        <v>12743</v>
      </c>
      <c r="W48" s="192"/>
      <c r="X48" s="192"/>
      <c r="Y48" s="1003">
        <v>2467.15</v>
      </c>
      <c r="Z48" s="1006">
        <v>84.14</v>
      </c>
      <c r="AA48" s="1006"/>
      <c r="AB48" s="1006">
        <v>66.680000000000007</v>
      </c>
      <c r="AC48" s="1006">
        <v>139.69999999999999</v>
      </c>
      <c r="AD48" s="1006">
        <v>100</v>
      </c>
      <c r="AE48" s="14"/>
      <c r="AF48" s="14">
        <f t="shared" si="48"/>
        <v>58.370800000000003</v>
      </c>
    </row>
    <row r="49" spans="1:32">
      <c r="A49" s="300">
        <v>42</v>
      </c>
      <c r="B49" s="299" t="s">
        <v>891</v>
      </c>
      <c r="C49" s="299" t="s">
        <v>872</v>
      </c>
      <c r="D49" s="243">
        <v>68</v>
      </c>
      <c r="E49" s="243">
        <v>64.102999999999994</v>
      </c>
      <c r="F49" s="243">
        <v>60.639000000000003</v>
      </c>
      <c r="G49" s="244">
        <v>60</v>
      </c>
      <c r="H49" s="243">
        <f t="shared" si="45"/>
        <v>4.2333333333333334</v>
      </c>
      <c r="I49" s="243">
        <v>6</v>
      </c>
      <c r="J49" s="243">
        <f t="shared" si="46"/>
        <v>2887.9784139636067</v>
      </c>
      <c r="K49" s="243">
        <f t="shared" si="47"/>
        <v>3055.310100197335</v>
      </c>
      <c r="L49" s="243">
        <v>100</v>
      </c>
      <c r="M49" s="245"/>
      <c r="N49" s="242">
        <v>0.127</v>
      </c>
      <c r="O49" s="246" t="s">
        <v>857</v>
      </c>
      <c r="P49" s="246" t="s">
        <v>858</v>
      </c>
      <c r="Q49" s="247">
        <v>1649000</v>
      </c>
      <c r="R49" s="247">
        <v>208</v>
      </c>
      <c r="S49" s="247">
        <v>160</v>
      </c>
      <c r="T49" s="247">
        <v>71</v>
      </c>
      <c r="U49" s="247">
        <v>258</v>
      </c>
      <c r="V49" s="248">
        <v>15944</v>
      </c>
      <c r="W49" s="192"/>
      <c r="X49" s="192"/>
      <c r="Y49" s="192"/>
      <c r="Z49" s="1006"/>
      <c r="AA49" s="1006"/>
      <c r="AB49" s="1006"/>
      <c r="AC49" s="1006"/>
      <c r="AD49" s="1006"/>
      <c r="AE49" s="14"/>
      <c r="AF49" s="14">
        <f t="shared" si="48"/>
        <v>62.370800000000003</v>
      </c>
    </row>
    <row r="50" spans="1:32">
      <c r="A50" s="302">
        <v>43</v>
      </c>
      <c r="B50" s="1009" t="s">
        <v>1511</v>
      </c>
      <c r="C50" s="303"/>
      <c r="D50" s="256">
        <v>72</v>
      </c>
      <c r="E50" s="256"/>
      <c r="F50" s="256"/>
      <c r="G50" s="257"/>
      <c r="H50" s="256">
        <f t="shared" si="45"/>
        <v>4.2333333333333334</v>
      </c>
      <c r="I50" s="256">
        <v>6</v>
      </c>
      <c r="J50" s="243">
        <f>0.25*PI()*F50^2</f>
        <v>0</v>
      </c>
      <c r="K50" s="256"/>
      <c r="L50" s="256"/>
      <c r="M50" s="258"/>
      <c r="N50" s="255"/>
      <c r="O50" s="260"/>
      <c r="P50" s="260"/>
      <c r="Q50" s="261"/>
      <c r="R50" s="261"/>
      <c r="S50" s="261"/>
      <c r="T50" s="261"/>
      <c r="U50" s="261"/>
      <c r="V50" s="262"/>
      <c r="W50" s="192"/>
      <c r="X50" s="192"/>
      <c r="Y50" s="192">
        <v>3221.7750000000001</v>
      </c>
      <c r="Z50" s="1006">
        <v>88.9</v>
      </c>
      <c r="AA50" s="1006"/>
      <c r="AB50" s="1006">
        <v>69.849999999999994</v>
      </c>
      <c r="AC50" s="1006">
        <v>155.58000000000001</v>
      </c>
      <c r="AD50" s="1006">
        <v>110</v>
      </c>
      <c r="AE50" s="14"/>
      <c r="AF50" s="14">
        <f t="shared" si="48"/>
        <v>66.370800000000003</v>
      </c>
    </row>
    <row r="51" spans="1:32" ht="13.5" thickBot="1">
      <c r="A51" s="302">
        <v>44</v>
      </c>
      <c r="B51" s="303" t="s">
        <v>892</v>
      </c>
      <c r="C51" s="303" t="s">
        <v>872</v>
      </c>
      <c r="D51" s="256">
        <v>80</v>
      </c>
      <c r="E51" s="256">
        <v>76.099999999999994</v>
      </c>
      <c r="F51" s="256">
        <v>72.599999999999994</v>
      </c>
      <c r="G51" s="257">
        <v>60</v>
      </c>
      <c r="H51" s="256">
        <v>0</v>
      </c>
      <c r="I51" s="256">
        <v>6</v>
      </c>
      <c r="J51" s="256">
        <f t="shared" si="46"/>
        <v>4139.6452237087342</v>
      </c>
      <c r="K51" s="256">
        <f t="shared" si="47"/>
        <v>4341.6201789034294</v>
      </c>
      <c r="L51" s="256">
        <v>120</v>
      </c>
      <c r="M51" s="258"/>
      <c r="N51" s="255">
        <v>0.152</v>
      </c>
      <c r="O51" s="304" t="s">
        <v>893</v>
      </c>
      <c r="P51" s="304" t="s">
        <v>894</v>
      </c>
      <c r="Q51" s="305">
        <v>2252000</v>
      </c>
      <c r="R51" s="306">
        <v>239</v>
      </c>
      <c r="S51" s="306">
        <v>167</v>
      </c>
      <c r="T51" s="306">
        <v>87</v>
      </c>
      <c r="U51" s="306">
        <v>299</v>
      </c>
      <c r="V51" s="307">
        <v>21778</v>
      </c>
      <c r="W51" s="994"/>
      <c r="X51" s="994"/>
      <c r="Y51" s="994">
        <v>4076.8310000000001</v>
      </c>
      <c r="Z51" s="1007">
        <v>93.66</v>
      </c>
      <c r="AA51" s="1007"/>
      <c r="AB51" s="1007">
        <v>74.61</v>
      </c>
      <c r="AC51" s="1007">
        <v>166.69</v>
      </c>
      <c r="AD51" s="1007">
        <v>120</v>
      </c>
      <c r="AE51" s="14"/>
      <c r="AF51" s="14">
        <f t="shared" si="48"/>
        <v>74.370800000000003</v>
      </c>
    </row>
    <row r="52" spans="1:32" ht="13.5" thickBot="1">
      <c r="A52" s="302">
        <v>45</v>
      </c>
      <c r="B52" s="303" t="s">
        <v>895</v>
      </c>
      <c r="C52" s="303" t="s">
        <v>872</v>
      </c>
      <c r="D52" s="256">
        <v>90</v>
      </c>
      <c r="E52" s="256">
        <v>86.1</v>
      </c>
      <c r="F52" s="256">
        <v>82.6</v>
      </c>
      <c r="G52" s="257">
        <v>60</v>
      </c>
      <c r="H52" s="256">
        <v>0</v>
      </c>
      <c r="I52" s="256">
        <v>6</v>
      </c>
      <c r="J52" s="256">
        <v>5287</v>
      </c>
      <c r="K52" s="256">
        <v>5591</v>
      </c>
      <c r="L52" s="256">
        <v>135</v>
      </c>
      <c r="M52" s="258">
        <v>95</v>
      </c>
      <c r="N52" s="255">
        <v>0.152</v>
      </c>
      <c r="O52" s="304" t="s">
        <v>893</v>
      </c>
      <c r="P52" s="304" t="s">
        <v>894</v>
      </c>
      <c r="Q52" s="305">
        <v>2252000</v>
      </c>
      <c r="R52" s="306">
        <v>239</v>
      </c>
      <c r="S52" s="306">
        <v>190</v>
      </c>
      <c r="T52" s="306">
        <v>93</v>
      </c>
      <c r="U52" s="306">
        <v>316</v>
      </c>
      <c r="V52" s="307">
        <v>21778</v>
      </c>
      <c r="W52" s="994"/>
      <c r="X52" s="994"/>
      <c r="Y52" s="994">
        <v>5287.085</v>
      </c>
      <c r="Z52" s="1007">
        <v>107.95</v>
      </c>
      <c r="AA52" s="1007"/>
      <c r="AB52" s="1007">
        <v>84.14</v>
      </c>
      <c r="AC52" s="1007">
        <v>188.91</v>
      </c>
      <c r="AD52" s="1007">
        <v>135</v>
      </c>
      <c r="AE52" s="14"/>
      <c r="AF52" s="14">
        <f t="shared" si="48"/>
        <v>84.370800000000003</v>
      </c>
    </row>
    <row r="53" spans="1:32" ht="13.5" thickBot="1">
      <c r="A53" s="279">
        <v>46</v>
      </c>
      <c r="B53" s="308" t="s">
        <v>896</v>
      </c>
      <c r="C53" s="309" t="s">
        <v>872</v>
      </c>
      <c r="D53" s="310">
        <v>90</v>
      </c>
      <c r="E53" s="310">
        <v>86.1</v>
      </c>
      <c r="F53" s="310">
        <v>82.6</v>
      </c>
      <c r="G53" s="311">
        <v>60</v>
      </c>
      <c r="H53" s="310">
        <v>0</v>
      </c>
      <c r="I53" s="310">
        <v>6</v>
      </c>
      <c r="J53" s="310">
        <v>5287</v>
      </c>
      <c r="K53" s="310">
        <v>5591</v>
      </c>
      <c r="L53" s="312">
        <v>135</v>
      </c>
      <c r="M53" s="313">
        <v>95</v>
      </c>
      <c r="N53" s="314">
        <v>0.152</v>
      </c>
      <c r="O53" s="315" t="s">
        <v>893</v>
      </c>
      <c r="P53" s="315" t="s">
        <v>894</v>
      </c>
      <c r="Q53" s="316">
        <v>2252000</v>
      </c>
      <c r="R53" s="317">
        <v>239</v>
      </c>
      <c r="S53" s="317">
        <v>190</v>
      </c>
      <c r="T53" s="317">
        <v>93</v>
      </c>
      <c r="U53" s="317">
        <v>316</v>
      </c>
      <c r="V53" s="318">
        <v>21778</v>
      </c>
      <c r="W53" s="995"/>
      <c r="X53" s="995"/>
      <c r="Y53" s="995"/>
      <c r="Z53" s="1008"/>
      <c r="AA53" s="1008"/>
      <c r="AB53" s="1008"/>
      <c r="AC53" s="1008"/>
      <c r="AD53" s="1008"/>
      <c r="AE53" s="14"/>
      <c r="AF53" s="14">
        <f t="shared" si="48"/>
        <v>84.370800000000003</v>
      </c>
    </row>
    <row r="54" spans="1:32">
      <c r="A54" s="192"/>
      <c r="B54" s="319"/>
      <c r="C54" s="319"/>
      <c r="D54" s="320"/>
      <c r="E54" s="320"/>
      <c r="F54" s="320"/>
      <c r="G54" s="321"/>
      <c r="H54" s="321"/>
      <c r="I54" s="320"/>
      <c r="J54" s="320"/>
      <c r="K54" s="320"/>
      <c r="L54" s="320"/>
      <c r="M54" s="320"/>
      <c r="N54" s="320"/>
      <c r="O54" s="193"/>
      <c r="P54" s="193"/>
      <c r="Q54" s="192"/>
      <c r="R54" s="192"/>
      <c r="S54" s="192"/>
      <c r="T54" s="192"/>
      <c r="U54" s="192"/>
      <c r="V54" s="192"/>
      <c r="W54" s="192"/>
      <c r="X54" s="192"/>
      <c r="Y54" s="192"/>
      <c r="Z54" s="192"/>
      <c r="AA54" s="192"/>
      <c r="AB54" s="192"/>
      <c r="AC54" s="192"/>
      <c r="AD54" s="192"/>
    </row>
    <row r="55" spans="1:32">
      <c r="A55" s="322" t="s">
        <v>897</v>
      </c>
      <c r="B55" s="323"/>
      <c r="C55" s="323"/>
      <c r="D55" s="323" t="s">
        <v>104</v>
      </c>
      <c r="E55" s="323" t="s">
        <v>104</v>
      </c>
      <c r="F55" s="323" t="s">
        <v>104</v>
      </c>
      <c r="G55" s="324" t="s">
        <v>898</v>
      </c>
      <c r="H55" s="325" t="s">
        <v>899</v>
      </c>
      <c r="I55" s="323" t="s">
        <v>104</v>
      </c>
      <c r="J55" s="323" t="s">
        <v>92</v>
      </c>
      <c r="K55" s="323" t="s">
        <v>92</v>
      </c>
      <c r="L55" s="323" t="s">
        <v>104</v>
      </c>
      <c r="M55" s="323"/>
      <c r="N55" s="323" t="s">
        <v>104</v>
      </c>
      <c r="O55" s="326"/>
      <c r="P55" s="326"/>
      <c r="Q55" s="326" t="s">
        <v>91</v>
      </c>
      <c r="R55" s="323" t="s">
        <v>104</v>
      </c>
      <c r="S55" s="323" t="s">
        <v>104</v>
      </c>
      <c r="T55" s="323" t="s">
        <v>104</v>
      </c>
      <c r="U55" s="323" t="s">
        <v>104</v>
      </c>
      <c r="V55" s="323" t="s">
        <v>92</v>
      </c>
      <c r="W55" s="323"/>
      <c r="X55" s="323"/>
      <c r="Y55" s="323"/>
      <c r="Z55" s="323"/>
      <c r="AA55" s="323"/>
      <c r="AB55" s="323"/>
      <c r="AC55" s="323"/>
      <c r="AD55" s="323"/>
    </row>
    <row r="56" spans="1:32">
      <c r="A56" s="322" t="s">
        <v>900</v>
      </c>
      <c r="B56" s="323"/>
      <c r="C56" s="323"/>
      <c r="D56" s="327">
        <f>1/25.4</f>
        <v>3.937007874015748E-2</v>
      </c>
      <c r="E56" s="327">
        <f>1/25.4</f>
        <v>3.937007874015748E-2</v>
      </c>
      <c r="F56" s="327">
        <f>1/25.4</f>
        <v>3.937007874015748E-2</v>
      </c>
      <c r="G56" s="328">
        <v>1</v>
      </c>
      <c r="H56" s="328">
        <v>1</v>
      </c>
      <c r="I56" s="327">
        <f>1/25.4</f>
        <v>3.937007874015748E-2</v>
      </c>
      <c r="J56" s="329">
        <f>1/25.4^2</f>
        <v>1.5500031000062E-3</v>
      </c>
      <c r="K56" s="329">
        <f>1/25.4^2</f>
        <v>1.5500031000062E-3</v>
      </c>
      <c r="L56" s="327">
        <f>1/25.4</f>
        <v>3.937007874015748E-2</v>
      </c>
      <c r="M56" s="327"/>
      <c r="N56" s="327">
        <f>1/25.4</f>
        <v>3.937007874015748E-2</v>
      </c>
      <c r="O56" s="326"/>
      <c r="P56" s="326"/>
      <c r="Q56" s="330">
        <f>2.20462/9.80665</f>
        <v>0.22480867574554</v>
      </c>
      <c r="R56" s="327">
        <f>1/25.4</f>
        <v>3.937007874015748E-2</v>
      </c>
      <c r="S56" s="327">
        <f>1/25.4</f>
        <v>3.937007874015748E-2</v>
      </c>
      <c r="T56" s="327">
        <f>1/25.4</f>
        <v>3.937007874015748E-2</v>
      </c>
      <c r="U56" s="327">
        <f>1/25.4</f>
        <v>3.937007874015748E-2</v>
      </c>
      <c r="V56" s="331">
        <f>1/25.4^2</f>
        <v>1.5500031000062E-3</v>
      </c>
      <c r="W56" s="331"/>
      <c r="X56" s="331"/>
      <c r="Y56" s="329">
        <f>1/25.4^2</f>
        <v>1.5500031000062E-3</v>
      </c>
      <c r="Z56" s="327">
        <f t="shared" ref="Z56:AD56" si="49">1/25.4</f>
        <v>3.937007874015748E-2</v>
      </c>
      <c r="AA56" s="327">
        <f t="shared" si="49"/>
        <v>3.937007874015748E-2</v>
      </c>
      <c r="AB56" s="327">
        <f t="shared" si="49"/>
        <v>3.937007874015748E-2</v>
      </c>
      <c r="AC56" s="327">
        <f t="shared" si="49"/>
        <v>3.937007874015748E-2</v>
      </c>
      <c r="AD56" s="327">
        <f t="shared" si="49"/>
        <v>3.937007874015748E-2</v>
      </c>
    </row>
    <row r="57" spans="1:32">
      <c r="A57" s="322" t="s">
        <v>901</v>
      </c>
      <c r="B57" s="323"/>
      <c r="C57" s="323"/>
      <c r="D57" s="323" t="s">
        <v>902</v>
      </c>
      <c r="E57" s="323" t="s">
        <v>902</v>
      </c>
      <c r="F57" s="323" t="s">
        <v>902</v>
      </c>
      <c r="G57" s="324" t="s">
        <v>898</v>
      </c>
      <c r="H57" s="325" t="s">
        <v>899</v>
      </c>
      <c r="I57" s="323" t="s">
        <v>902</v>
      </c>
      <c r="J57" s="323" t="s">
        <v>903</v>
      </c>
      <c r="K57" s="323" t="s">
        <v>903</v>
      </c>
      <c r="L57" s="323" t="s">
        <v>902</v>
      </c>
      <c r="M57" s="323"/>
      <c r="N57" s="323" t="s">
        <v>902</v>
      </c>
      <c r="O57" s="326"/>
      <c r="P57" s="326"/>
      <c r="Q57" s="326" t="s">
        <v>904</v>
      </c>
      <c r="R57" s="323" t="s">
        <v>902</v>
      </c>
      <c r="S57" s="323" t="s">
        <v>902</v>
      </c>
      <c r="T57" s="323" t="s">
        <v>902</v>
      </c>
      <c r="U57" s="323" t="s">
        <v>902</v>
      </c>
      <c r="V57" s="323" t="s">
        <v>903</v>
      </c>
      <c r="W57" s="323"/>
      <c r="X57" s="323"/>
      <c r="Y57" s="323"/>
      <c r="Z57" s="323"/>
      <c r="AA57" s="323"/>
      <c r="AB57" s="323"/>
      <c r="AC57" s="323"/>
      <c r="AD57" s="323"/>
    </row>
    <row r="58" spans="1:32" ht="13.5" thickBot="1">
      <c r="A58" s="192"/>
      <c r="B58" s="193"/>
      <c r="C58" s="193"/>
      <c r="D58" s="192"/>
      <c r="E58" s="192"/>
      <c r="F58" s="192"/>
      <c r="G58" s="194"/>
      <c r="H58" s="194"/>
      <c r="I58" s="192"/>
      <c r="J58" s="192"/>
      <c r="K58" s="192"/>
      <c r="L58" s="192"/>
      <c r="M58" s="192"/>
      <c r="N58" s="192"/>
      <c r="O58" s="193"/>
      <c r="P58" s="193"/>
      <c r="Q58" s="192"/>
      <c r="R58" s="192"/>
      <c r="S58" s="192"/>
      <c r="T58" s="192"/>
      <c r="U58" s="192"/>
      <c r="V58" s="192"/>
      <c r="W58" s="192"/>
      <c r="X58" s="192"/>
      <c r="Y58" s="192"/>
      <c r="Z58" s="192"/>
      <c r="AA58" s="192"/>
      <c r="AB58" s="192"/>
      <c r="AC58" s="192"/>
      <c r="AD58" s="192"/>
    </row>
    <row r="59" spans="1:32" ht="13.5" thickBot="1">
      <c r="A59" s="219"/>
      <c r="B59" s="332"/>
      <c r="C59" s="333"/>
      <c r="D59" s="211" t="s">
        <v>777</v>
      </c>
      <c r="E59" s="211"/>
      <c r="F59" s="212"/>
      <c r="G59" s="213" t="s">
        <v>778</v>
      </c>
      <c r="H59" s="214"/>
      <c r="I59" s="212"/>
      <c r="J59" s="334" t="s">
        <v>779</v>
      </c>
      <c r="K59" s="334"/>
      <c r="L59" s="217" t="str">
        <f>L4</f>
        <v>Heavy nut</v>
      </c>
      <c r="M59" s="217"/>
      <c r="N59" s="217" t="str">
        <f>N4</f>
        <v>Allowance for</v>
      </c>
      <c r="O59" s="217"/>
      <c r="P59" s="217" t="str">
        <f>P4</f>
        <v>Color</v>
      </c>
      <c r="Q59" s="217"/>
      <c r="R59" s="217" t="str">
        <f t="shared" ref="R59:V61" si="50">R4</f>
        <v>Effective</v>
      </c>
      <c r="S59" s="217" t="str">
        <f t="shared" si="50"/>
        <v>Min.</v>
      </c>
      <c r="T59" s="217" t="str">
        <f t="shared" si="50"/>
        <v>Clearance</v>
      </c>
      <c r="U59" s="217" t="str">
        <f t="shared" si="50"/>
        <v>Installing</v>
      </c>
      <c r="V59" s="217" t="str">
        <f t="shared" si="50"/>
        <v>Hydraulic</v>
      </c>
      <c r="W59" s="992"/>
      <c r="X59" s="992"/>
      <c r="Y59" s="992"/>
      <c r="Z59" s="992"/>
      <c r="AA59" s="992"/>
      <c r="AB59" s="992"/>
      <c r="AC59" s="992"/>
      <c r="AD59" s="992"/>
    </row>
    <row r="60" spans="1:32">
      <c r="A60" s="229" t="str">
        <f>A5</f>
        <v>Bolt reference</v>
      </c>
      <c r="B60" s="335" t="str">
        <f>B5</f>
        <v>Bolt size</v>
      </c>
      <c r="C60" s="336"/>
      <c r="D60" s="337" t="str">
        <f t="shared" ref="D60:K61" si="51">D5</f>
        <v>Bolt</v>
      </c>
      <c r="E60" s="338" t="str">
        <f t="shared" si="51"/>
        <v>Pitch</v>
      </c>
      <c r="F60" s="339" t="str">
        <f t="shared" si="51"/>
        <v>Minor</v>
      </c>
      <c r="G60" s="340" t="str">
        <f t="shared" si="51"/>
        <v>Angle</v>
      </c>
      <c r="H60" s="341" t="str">
        <f t="shared" si="51"/>
        <v>Threads/inch</v>
      </c>
      <c r="I60" s="339" t="str">
        <f t="shared" si="51"/>
        <v>Pitch</v>
      </c>
      <c r="J60" s="342" t="str">
        <f t="shared" si="51"/>
        <v>Root</v>
      </c>
      <c r="K60" s="343" t="str">
        <f t="shared" si="51"/>
        <v>Tensile stress</v>
      </c>
      <c r="L60" s="229" t="str">
        <f>L5</f>
        <v>Width across flats</v>
      </c>
      <c r="M60" s="229"/>
      <c r="N60" s="229" t="str">
        <f>N5</f>
        <v>thread deflection</v>
      </c>
      <c r="O60" s="229" t="str">
        <f>O5</f>
        <v>Tool No.</v>
      </c>
      <c r="P60" s="229" t="str">
        <f>P5</f>
        <v>code</v>
      </c>
      <c r="Q60" s="229" t="str">
        <f>Q5</f>
        <v>Max. Load</v>
      </c>
      <c r="R60" s="229" t="str">
        <f t="shared" si="50"/>
        <v>OD</v>
      </c>
      <c r="S60" s="229" t="str">
        <f t="shared" si="50"/>
        <v>Pitch</v>
      </c>
      <c r="T60" s="229" t="str">
        <f t="shared" si="50"/>
        <v>at base</v>
      </c>
      <c r="U60" s="229" t="str">
        <f t="shared" si="50"/>
        <v>Height</v>
      </c>
      <c r="V60" s="229" t="str">
        <f t="shared" si="50"/>
        <v>Area</v>
      </c>
      <c r="W60" s="992"/>
      <c r="X60" s="992"/>
      <c r="Y60" s="992"/>
      <c r="Z60" s="992"/>
      <c r="AA60" s="992"/>
      <c r="AB60" s="992"/>
      <c r="AC60" s="992"/>
      <c r="AD60" s="992"/>
    </row>
    <row r="61" spans="1:32">
      <c r="A61" s="229" t="str">
        <f>A6</f>
        <v>number</v>
      </c>
      <c r="B61" s="342"/>
      <c r="C61" s="344"/>
      <c r="D61" s="342" t="str">
        <f t="shared" si="51"/>
        <v>d</v>
      </c>
      <c r="E61" s="345" t="str">
        <f t="shared" si="51"/>
        <v>d2</v>
      </c>
      <c r="F61" s="343" t="str">
        <f t="shared" si="51"/>
        <v>D1</v>
      </c>
      <c r="G61" s="231" t="str">
        <f t="shared" si="51"/>
        <v>2 alfa</v>
      </c>
      <c r="H61" s="346" t="str">
        <f t="shared" si="51"/>
        <v>nt</v>
      </c>
      <c r="I61" s="343" t="str">
        <f t="shared" si="51"/>
        <v>p</v>
      </c>
      <c r="J61" s="342" t="str">
        <f t="shared" si="51"/>
        <v>Abr</v>
      </c>
      <c r="K61" s="343" t="str">
        <f t="shared" si="51"/>
        <v>Abs</v>
      </c>
      <c r="L61" s="229" t="str">
        <f>L6</f>
        <v>do</v>
      </c>
      <c r="M61" s="229"/>
      <c r="N61" s="229" t="str">
        <f>N6</f>
        <v>a</v>
      </c>
      <c r="O61" s="229"/>
      <c r="P61" s="229"/>
      <c r="Q61" s="229" t="str">
        <f>Q6</f>
        <v>F tool max.</v>
      </c>
      <c r="R61" s="229" t="str">
        <f t="shared" si="50"/>
        <v>A</v>
      </c>
      <c r="S61" s="229" t="str">
        <f t="shared" si="50"/>
        <v>B</v>
      </c>
      <c r="T61" s="229" t="str">
        <f t="shared" si="50"/>
        <v>C</v>
      </c>
      <c r="U61" s="229" t="str">
        <f t="shared" si="50"/>
        <v>D</v>
      </c>
      <c r="V61" s="229" t="str">
        <f t="shared" si="50"/>
        <v>A hydr.</v>
      </c>
      <c r="W61" s="992"/>
      <c r="X61" s="992"/>
      <c r="Y61" s="992"/>
      <c r="Z61" s="992"/>
      <c r="AA61" s="992"/>
      <c r="AB61" s="992"/>
      <c r="AC61" s="992"/>
      <c r="AD61" s="992"/>
    </row>
    <row r="62" spans="1:32" ht="13.5" thickBot="1">
      <c r="A62" s="232"/>
      <c r="B62" s="347"/>
      <c r="C62" s="348"/>
      <c r="D62" s="347" t="str">
        <f t="shared" ref="D62:L62" si="52">D57</f>
        <v>inch</v>
      </c>
      <c r="E62" s="349" t="str">
        <f t="shared" si="52"/>
        <v>inch</v>
      </c>
      <c r="F62" s="350" t="str">
        <f t="shared" si="52"/>
        <v>inch</v>
      </c>
      <c r="G62" s="351" t="str">
        <f t="shared" si="52"/>
        <v>deg</v>
      </c>
      <c r="H62" s="352" t="str">
        <f t="shared" si="52"/>
        <v>---</v>
      </c>
      <c r="I62" s="350" t="str">
        <f t="shared" si="52"/>
        <v>inch</v>
      </c>
      <c r="J62" s="347" t="str">
        <f t="shared" si="52"/>
        <v>sq.inch</v>
      </c>
      <c r="K62" s="350" t="str">
        <f t="shared" si="52"/>
        <v>sq.inch</v>
      </c>
      <c r="L62" s="232" t="str">
        <f t="shared" si="52"/>
        <v>inch</v>
      </c>
      <c r="M62" s="232"/>
      <c r="N62" s="232" t="str">
        <f>N57</f>
        <v>inch</v>
      </c>
      <c r="O62" s="232"/>
      <c r="P62" s="232"/>
      <c r="Q62" s="232" t="str">
        <f t="shared" ref="Q62:V62" si="53">Q57</f>
        <v>lb</v>
      </c>
      <c r="R62" s="232" t="str">
        <f t="shared" si="53"/>
        <v>inch</v>
      </c>
      <c r="S62" s="232" t="str">
        <f t="shared" si="53"/>
        <v>inch</v>
      </c>
      <c r="T62" s="232" t="str">
        <f t="shared" si="53"/>
        <v>inch</v>
      </c>
      <c r="U62" s="232" t="str">
        <f t="shared" si="53"/>
        <v>inch</v>
      </c>
      <c r="V62" s="232" t="str">
        <f t="shared" si="53"/>
        <v>sq.inch</v>
      </c>
      <c r="W62" s="992"/>
      <c r="X62" s="992"/>
      <c r="Y62" s="999" t="s">
        <v>1513</v>
      </c>
      <c r="Z62" s="999" t="s">
        <v>1514</v>
      </c>
      <c r="AA62" s="999" t="s">
        <v>1514</v>
      </c>
      <c r="AB62" s="999" t="s">
        <v>1514</v>
      </c>
      <c r="AC62" s="999" t="s">
        <v>1514</v>
      </c>
      <c r="AD62" s="999" t="s">
        <v>1514</v>
      </c>
    </row>
    <row r="63" spans="1:32">
      <c r="A63" s="240">
        <f t="shared" ref="A63:C83" si="54">A8</f>
        <v>1</v>
      </c>
      <c r="B63" s="246" t="str">
        <f t="shared" si="54"/>
        <v>1/2"</v>
      </c>
      <c r="C63" s="246" t="str">
        <f t="shared" si="54"/>
        <v>UNC</v>
      </c>
      <c r="D63" s="353">
        <v>0.5</v>
      </c>
      <c r="E63" s="354">
        <v>0.45</v>
      </c>
      <c r="F63" s="354">
        <v>0.41670000000000001</v>
      </c>
      <c r="G63" s="355">
        <v>60</v>
      </c>
      <c r="H63" s="355">
        <v>13</v>
      </c>
      <c r="I63" s="354">
        <f t="shared" ref="I63:I83" si="55">1/H63</f>
        <v>7.6923076923076927E-2</v>
      </c>
      <c r="J63" s="354">
        <v>0.12570000000000001</v>
      </c>
      <c r="K63" s="354">
        <v>0.1419</v>
      </c>
      <c r="L63" s="354">
        <f>7/8</f>
        <v>0.875</v>
      </c>
      <c r="M63" s="354"/>
      <c r="N63" s="354">
        <f t="shared" ref="N63:N83" si="56">N8*$N$56</f>
        <v>2.0078740157480316E-3</v>
      </c>
      <c r="O63" s="246"/>
      <c r="P63" s="246"/>
      <c r="Q63" s="246"/>
      <c r="R63" s="246"/>
      <c r="S63" s="246"/>
      <c r="T63" s="246"/>
      <c r="U63" s="246"/>
      <c r="V63" s="356"/>
      <c r="W63" s="193"/>
      <c r="X63" s="193"/>
      <c r="Y63" s="193">
        <v>0.126</v>
      </c>
      <c r="Z63" s="193">
        <f>13/16</f>
        <v>0.8125</v>
      </c>
      <c r="AA63" s="193">
        <f>5/8</f>
        <v>0.625</v>
      </c>
      <c r="AB63" s="193">
        <f>5/8</f>
        <v>0.625</v>
      </c>
      <c r="AC63" s="193">
        <v>1.25</v>
      </c>
      <c r="AD63" s="193">
        <f>7/8</f>
        <v>0.875</v>
      </c>
    </row>
    <row r="64" spans="1:32">
      <c r="A64" s="240">
        <f t="shared" si="54"/>
        <v>2</v>
      </c>
      <c r="B64" s="246" t="str">
        <f t="shared" si="54"/>
        <v>5/8"</v>
      </c>
      <c r="C64" s="246" t="str">
        <f t="shared" si="54"/>
        <v>UNC</v>
      </c>
      <c r="D64" s="353">
        <f>5/8</f>
        <v>0.625</v>
      </c>
      <c r="E64" s="354">
        <v>0.56599999999999995</v>
      </c>
      <c r="F64" s="354">
        <v>0.52659999999999996</v>
      </c>
      <c r="G64" s="355">
        <v>60</v>
      </c>
      <c r="H64" s="355">
        <v>11</v>
      </c>
      <c r="I64" s="354">
        <f t="shared" si="55"/>
        <v>9.0909090909090912E-2</v>
      </c>
      <c r="J64" s="353">
        <v>0.20200000000000001</v>
      </c>
      <c r="K64" s="353">
        <v>0.22600000000000001</v>
      </c>
      <c r="L64" s="354">
        <f>1+1/16</f>
        <v>1.0625</v>
      </c>
      <c r="M64" s="354"/>
      <c r="N64" s="354">
        <f t="shared" si="56"/>
        <v>2.0078740157480316E-3</v>
      </c>
      <c r="O64" s="246"/>
      <c r="P64" s="246"/>
      <c r="Q64" s="246"/>
      <c r="R64" s="246"/>
      <c r="S64" s="246"/>
      <c r="T64" s="246"/>
      <c r="U64" s="246"/>
      <c r="V64" s="356"/>
      <c r="W64" s="193"/>
      <c r="X64" s="193"/>
      <c r="Y64" s="193">
        <v>0.20200000000000001</v>
      </c>
      <c r="Z64" s="193">
        <f>15/16</f>
        <v>0.9375</v>
      </c>
      <c r="AA64" s="193">
        <v>0.75</v>
      </c>
      <c r="AB64" s="193">
        <v>0.75</v>
      </c>
      <c r="AC64" s="193">
        <v>1.5</v>
      </c>
      <c r="AD64" s="193">
        <f>1+1/8</f>
        <v>1.125</v>
      </c>
    </row>
    <row r="65" spans="1:30">
      <c r="A65" s="240">
        <f t="shared" si="54"/>
        <v>3</v>
      </c>
      <c r="B65" s="246" t="str">
        <f t="shared" si="54"/>
        <v>3/4"</v>
      </c>
      <c r="C65" s="246" t="str">
        <f t="shared" si="54"/>
        <v>UNC</v>
      </c>
      <c r="D65" s="353">
        <f>3/4</f>
        <v>0.75</v>
      </c>
      <c r="E65" s="354">
        <v>0.68500000000000005</v>
      </c>
      <c r="F65" s="354">
        <v>0.64170000000000005</v>
      </c>
      <c r="G65" s="355">
        <v>60</v>
      </c>
      <c r="H65" s="355">
        <v>10</v>
      </c>
      <c r="I65" s="354">
        <f t="shared" si="55"/>
        <v>0.1</v>
      </c>
      <c r="J65" s="353">
        <v>0.30199999999999999</v>
      </c>
      <c r="K65" s="353">
        <v>0.33400000000000002</v>
      </c>
      <c r="L65" s="354">
        <v>1.25</v>
      </c>
      <c r="M65" s="354"/>
      <c r="N65" s="354">
        <f t="shared" si="56"/>
        <v>2.0078740157480316E-3</v>
      </c>
      <c r="O65" s="246" t="str">
        <f t="shared" ref="O65:P83" si="57">O10</f>
        <v>Hydratight HL series: tool no. 02</v>
      </c>
      <c r="P65" s="246" t="str">
        <f t="shared" si="57"/>
        <v>maroon</v>
      </c>
      <c r="Q65" s="357">
        <f t="shared" ref="Q65:V74" si="58">Q10*Q$56</f>
        <v>30573.979901393439</v>
      </c>
      <c r="R65" s="358">
        <f t="shared" si="58"/>
        <v>2.8937007874015745</v>
      </c>
      <c r="S65" s="358">
        <f t="shared" si="58"/>
        <v>1.9291338582677164</v>
      </c>
      <c r="T65" s="358">
        <f t="shared" si="58"/>
        <v>0.92519685039370081</v>
      </c>
      <c r="U65" s="358">
        <f t="shared" si="58"/>
        <v>6.2992125984251963</v>
      </c>
      <c r="V65" s="359">
        <f t="shared" si="58"/>
        <v>2.1033542067084134</v>
      </c>
      <c r="W65" s="996"/>
      <c r="X65" s="996"/>
      <c r="Y65" s="996">
        <v>0.30199999999999999</v>
      </c>
      <c r="Z65" s="996">
        <f>1+1/8</f>
        <v>1.125</v>
      </c>
      <c r="AA65" s="996">
        <f>13/16</f>
        <v>0.8125</v>
      </c>
      <c r="AB65" s="996">
        <f>13/16</f>
        <v>0.8125</v>
      </c>
      <c r="AC65" s="996">
        <v>1.75</v>
      </c>
      <c r="AD65" s="996">
        <v>1.25</v>
      </c>
    </row>
    <row r="66" spans="1:30">
      <c r="A66" s="240">
        <f t="shared" si="54"/>
        <v>4</v>
      </c>
      <c r="B66" s="246" t="str">
        <f t="shared" si="54"/>
        <v>7/8"</v>
      </c>
      <c r="C66" s="246" t="str">
        <f t="shared" si="54"/>
        <v>UNC</v>
      </c>
      <c r="D66" s="353">
        <f>7/8</f>
        <v>0.875</v>
      </c>
      <c r="E66" s="354">
        <v>0.80279999999999996</v>
      </c>
      <c r="F66" s="354">
        <v>0.75470000000000004</v>
      </c>
      <c r="G66" s="355">
        <v>60</v>
      </c>
      <c r="H66" s="355">
        <v>9</v>
      </c>
      <c r="I66" s="354">
        <f t="shared" si="55"/>
        <v>0.1111111111111111</v>
      </c>
      <c r="J66" s="353">
        <v>0.41899999999999998</v>
      </c>
      <c r="K66" s="353">
        <v>0.46200000000000002</v>
      </c>
      <c r="L66" s="354">
        <f>1+7/16</f>
        <v>1.4375</v>
      </c>
      <c r="M66" s="354"/>
      <c r="N66" s="354">
        <f t="shared" si="56"/>
        <v>2.0078740157480316E-3</v>
      </c>
      <c r="O66" s="246" t="str">
        <f t="shared" si="57"/>
        <v>Hydratight HL series: tool no. 02</v>
      </c>
      <c r="P66" s="246" t="str">
        <f t="shared" si="57"/>
        <v>maroon</v>
      </c>
      <c r="Q66" s="357">
        <f t="shared" si="58"/>
        <v>30573.979901393439</v>
      </c>
      <c r="R66" s="358">
        <f t="shared" si="58"/>
        <v>2.8937007874015745</v>
      </c>
      <c r="S66" s="358">
        <f t="shared" si="58"/>
        <v>2.0078740157480315</v>
      </c>
      <c r="T66" s="358">
        <f t="shared" si="58"/>
        <v>1.0433070866141732</v>
      </c>
      <c r="U66" s="358">
        <f t="shared" si="58"/>
        <v>6.2992125984251963</v>
      </c>
      <c r="V66" s="359">
        <f t="shared" si="58"/>
        <v>2.1033542067084134</v>
      </c>
      <c r="W66" s="996"/>
      <c r="X66" s="996"/>
      <c r="Y66" s="996">
        <v>0.41899999999999998</v>
      </c>
      <c r="Z66" s="996">
        <v>1.25</v>
      </c>
      <c r="AA66" s="996">
        <f>15/16</f>
        <v>0.9375</v>
      </c>
      <c r="AB66" s="996">
        <f>15/16</f>
        <v>0.9375</v>
      </c>
      <c r="AC66" s="996">
        <f>2+1/16</f>
        <v>2.0625</v>
      </c>
      <c r="AD66" s="996">
        <f>1+7/16</f>
        <v>1.4375</v>
      </c>
    </row>
    <row r="67" spans="1:30">
      <c r="A67" s="240">
        <f t="shared" si="54"/>
        <v>5</v>
      </c>
      <c r="B67" s="246" t="str">
        <f t="shared" si="54"/>
        <v>1"</v>
      </c>
      <c r="C67" s="246" t="str">
        <f t="shared" si="54"/>
        <v>UNC</v>
      </c>
      <c r="D67" s="353">
        <v>1</v>
      </c>
      <c r="E67" s="354">
        <v>0.91879999999999995</v>
      </c>
      <c r="F67" s="354">
        <v>0.86470000000000002</v>
      </c>
      <c r="G67" s="355">
        <v>60</v>
      </c>
      <c r="H67" s="355">
        <v>8</v>
      </c>
      <c r="I67" s="354">
        <f t="shared" si="55"/>
        <v>0.125</v>
      </c>
      <c r="J67" s="353">
        <v>0.55100000000000005</v>
      </c>
      <c r="K67" s="353">
        <v>0.60599999999999998</v>
      </c>
      <c r="L67" s="354">
        <f>1+5/8</f>
        <v>1.625</v>
      </c>
      <c r="M67" s="354"/>
      <c r="N67" s="354">
        <f t="shared" si="56"/>
        <v>2.9921259842519685E-3</v>
      </c>
      <c r="O67" s="246" t="str">
        <f t="shared" si="57"/>
        <v>Hydratight HL series: tool no. 01</v>
      </c>
      <c r="P67" s="246" t="str">
        <f t="shared" si="57"/>
        <v>dark green</v>
      </c>
      <c r="Q67" s="357">
        <f t="shared" si="58"/>
        <v>51256.378069983119</v>
      </c>
      <c r="R67" s="358">
        <f t="shared" si="58"/>
        <v>3.3858267716535431</v>
      </c>
      <c r="S67" s="358">
        <f t="shared" si="58"/>
        <v>2.3228346456692912</v>
      </c>
      <c r="T67" s="358">
        <f t="shared" si="58"/>
        <v>1.1614173228346456</v>
      </c>
      <c r="U67" s="358">
        <f t="shared" si="58"/>
        <v>7.0866141732283463</v>
      </c>
      <c r="V67" s="359">
        <f t="shared" si="58"/>
        <v>3.5293570587141176</v>
      </c>
      <c r="W67" s="996"/>
      <c r="X67" s="996"/>
      <c r="Y67" s="996">
        <v>0.55100000000000005</v>
      </c>
      <c r="Z67" s="1012">
        <f>1+3/8</f>
        <v>1.375</v>
      </c>
      <c r="AA67" s="996">
        <f>1+1/16</f>
        <v>1.0625</v>
      </c>
      <c r="AB67" s="996">
        <f>1+1/16</f>
        <v>1.0625</v>
      </c>
      <c r="AC67" s="996">
        <v>2.25</v>
      </c>
      <c r="AD67" s="996">
        <f>1+5/8</f>
        <v>1.625</v>
      </c>
    </row>
    <row r="68" spans="1:30">
      <c r="A68" s="240">
        <f t="shared" si="54"/>
        <v>6</v>
      </c>
      <c r="B68" s="246" t="str">
        <f t="shared" si="54"/>
        <v>1 1/8"</v>
      </c>
      <c r="C68" s="246" t="str">
        <f t="shared" si="54"/>
        <v>8UN</v>
      </c>
      <c r="D68" s="353">
        <f>1+1/8</f>
        <v>1.125</v>
      </c>
      <c r="E68" s="354">
        <v>1.0438000000000001</v>
      </c>
      <c r="F68" s="354">
        <v>0.98970000000000002</v>
      </c>
      <c r="G68" s="355">
        <v>60</v>
      </c>
      <c r="H68" s="355">
        <v>8</v>
      </c>
      <c r="I68" s="354">
        <f t="shared" si="55"/>
        <v>0.125</v>
      </c>
      <c r="J68" s="353">
        <v>0.72799999999999998</v>
      </c>
      <c r="K68" s="353">
        <v>0.79</v>
      </c>
      <c r="L68" s="354">
        <f>1+13/16</f>
        <v>1.8125</v>
      </c>
      <c r="M68" s="354"/>
      <c r="N68" s="354">
        <f t="shared" si="56"/>
        <v>2.9921259842519685E-3</v>
      </c>
      <c r="O68" s="246" t="str">
        <f t="shared" si="57"/>
        <v>Hydratight HL series: tool no. 01</v>
      </c>
      <c r="P68" s="246" t="str">
        <f t="shared" si="57"/>
        <v>dark green</v>
      </c>
      <c r="Q68" s="357">
        <f t="shared" si="58"/>
        <v>51256.378069983119</v>
      </c>
      <c r="R68" s="358">
        <f t="shared" si="58"/>
        <v>3.3858267716535431</v>
      </c>
      <c r="S68" s="358">
        <f t="shared" si="58"/>
        <v>2.3622047244094486</v>
      </c>
      <c r="T68" s="358">
        <f t="shared" si="58"/>
        <v>1.2598425196850394</v>
      </c>
      <c r="U68" s="358">
        <f t="shared" si="58"/>
        <v>7.2834645669291334</v>
      </c>
      <c r="V68" s="359">
        <f t="shared" si="58"/>
        <v>3.5293570587141176</v>
      </c>
      <c r="W68" s="996"/>
      <c r="X68" s="996"/>
      <c r="Y68" s="996">
        <v>0.72799999999999998</v>
      </c>
      <c r="Z68" s="996">
        <v>1.5</v>
      </c>
      <c r="AA68" s="996">
        <f>1+1/8</f>
        <v>1.125</v>
      </c>
      <c r="AB68" s="996">
        <f>1+1/8</f>
        <v>1.125</v>
      </c>
      <c r="AC68" s="996">
        <v>2.5</v>
      </c>
      <c r="AD68" s="996">
        <f>1+13/16</f>
        <v>1.8125</v>
      </c>
    </row>
    <row r="69" spans="1:30">
      <c r="A69" s="240">
        <f t="shared" si="54"/>
        <v>7</v>
      </c>
      <c r="B69" s="246" t="str">
        <f t="shared" si="54"/>
        <v>1 1/4"</v>
      </c>
      <c r="C69" s="246" t="str">
        <f t="shared" si="54"/>
        <v>8UN</v>
      </c>
      <c r="D69" s="353">
        <v>1.25</v>
      </c>
      <c r="E69" s="354">
        <v>1.1688000000000001</v>
      </c>
      <c r="F69" s="354">
        <v>1.1147</v>
      </c>
      <c r="G69" s="355">
        <v>60</v>
      </c>
      <c r="H69" s="355">
        <v>8</v>
      </c>
      <c r="I69" s="354">
        <f t="shared" si="55"/>
        <v>0.125</v>
      </c>
      <c r="J69" s="353">
        <v>0.92900000000000005</v>
      </c>
      <c r="K69" s="353">
        <v>1</v>
      </c>
      <c r="L69" s="354">
        <v>2</v>
      </c>
      <c r="M69" s="354"/>
      <c r="N69" s="354">
        <f t="shared" si="56"/>
        <v>2.9921259842519685E-3</v>
      </c>
      <c r="O69" s="246" t="str">
        <f t="shared" si="57"/>
        <v>Hydratight HL series: tool no. 1</v>
      </c>
      <c r="P69" s="246" t="str">
        <f t="shared" si="57"/>
        <v>dark blue</v>
      </c>
      <c r="Q69" s="357">
        <f t="shared" si="58"/>
        <v>78233.41915944792</v>
      </c>
      <c r="R69" s="358">
        <f t="shared" si="58"/>
        <v>4.21259842519685</v>
      </c>
      <c r="S69" s="358">
        <f t="shared" si="58"/>
        <v>2.8740157480314958</v>
      </c>
      <c r="T69" s="358">
        <f t="shared" si="58"/>
        <v>1.4173228346456692</v>
      </c>
      <c r="U69" s="358">
        <f t="shared" si="58"/>
        <v>7.7559055118110232</v>
      </c>
      <c r="V69" s="359">
        <f t="shared" si="58"/>
        <v>5.4002108004216005</v>
      </c>
      <c r="W69" s="996"/>
      <c r="X69" s="996"/>
      <c r="Y69" s="996">
        <v>0.92900000000000005</v>
      </c>
      <c r="Z69" s="996">
        <v>1.75</v>
      </c>
      <c r="AA69" s="996">
        <v>1.25</v>
      </c>
      <c r="AB69" s="996">
        <v>1.25</v>
      </c>
      <c r="AC69" s="996">
        <f>2+13/16</f>
        <v>2.8125</v>
      </c>
      <c r="AD69" s="996">
        <v>2</v>
      </c>
    </row>
    <row r="70" spans="1:30">
      <c r="A70" s="240">
        <f t="shared" si="54"/>
        <v>8</v>
      </c>
      <c r="B70" s="246" t="str">
        <f t="shared" si="54"/>
        <v>1 3/8"</v>
      </c>
      <c r="C70" s="246" t="str">
        <f t="shared" si="54"/>
        <v>8UN</v>
      </c>
      <c r="D70" s="353">
        <v>1.375</v>
      </c>
      <c r="E70" s="354">
        <v>1.2938000000000001</v>
      </c>
      <c r="F70" s="354">
        <v>1.2397</v>
      </c>
      <c r="G70" s="355">
        <v>60</v>
      </c>
      <c r="H70" s="355">
        <v>8</v>
      </c>
      <c r="I70" s="354">
        <f t="shared" si="55"/>
        <v>0.125</v>
      </c>
      <c r="J70" s="353">
        <v>1.155</v>
      </c>
      <c r="K70" s="353">
        <v>1.2330000000000001</v>
      </c>
      <c r="L70" s="354">
        <f>2+3/16</f>
        <v>2.1875</v>
      </c>
      <c r="M70" s="354"/>
      <c r="N70" s="354">
        <f t="shared" si="56"/>
        <v>2.9921259842519685E-3</v>
      </c>
      <c r="O70" s="246" t="str">
        <f t="shared" si="57"/>
        <v>Hydratight HL series: tool no. 1</v>
      </c>
      <c r="P70" s="246" t="str">
        <f t="shared" si="57"/>
        <v>dark blue</v>
      </c>
      <c r="Q70" s="357">
        <f t="shared" si="58"/>
        <v>78233.41915944792</v>
      </c>
      <c r="R70" s="358">
        <f t="shared" si="58"/>
        <v>4.21259842519685</v>
      </c>
      <c r="S70" s="358">
        <f t="shared" si="58"/>
        <v>2.9921259842519685</v>
      </c>
      <c r="T70" s="358">
        <f t="shared" si="58"/>
        <v>1.5354330708661417</v>
      </c>
      <c r="U70" s="358">
        <f t="shared" si="58"/>
        <v>7.8740157480314963</v>
      </c>
      <c r="V70" s="359">
        <f t="shared" si="58"/>
        <v>5.4002108004216005</v>
      </c>
      <c r="W70" s="996"/>
      <c r="X70" s="996"/>
      <c r="Y70" s="996">
        <v>1.155</v>
      </c>
      <c r="Z70" s="996">
        <f>1+7/8</f>
        <v>1.875</v>
      </c>
      <c r="AA70" s="996">
        <f>1+3/8</f>
        <v>1.375</v>
      </c>
      <c r="AB70" s="996">
        <f>1+3/8</f>
        <v>1.375</v>
      </c>
      <c r="AC70" s="996">
        <f>3+1/16</f>
        <v>3.0625</v>
      </c>
      <c r="AD70" s="996">
        <f>2+3/16</f>
        <v>2.1875</v>
      </c>
    </row>
    <row r="71" spans="1:30">
      <c r="A71" s="240">
        <f t="shared" si="54"/>
        <v>9</v>
      </c>
      <c r="B71" s="246" t="str">
        <f t="shared" si="54"/>
        <v>1 1/2"</v>
      </c>
      <c r="C71" s="246" t="str">
        <f t="shared" si="54"/>
        <v>8UN</v>
      </c>
      <c r="D71" s="353">
        <v>1.5</v>
      </c>
      <c r="E71" s="354">
        <v>1.4188000000000001</v>
      </c>
      <c r="F71" s="354">
        <v>1.3647</v>
      </c>
      <c r="G71" s="355">
        <v>60</v>
      </c>
      <c r="H71" s="355">
        <v>8</v>
      </c>
      <c r="I71" s="354">
        <f t="shared" si="55"/>
        <v>0.125</v>
      </c>
      <c r="J71" s="353">
        <v>1.405</v>
      </c>
      <c r="K71" s="353">
        <v>1.492</v>
      </c>
      <c r="L71" s="354">
        <f>2+3/8</f>
        <v>2.375</v>
      </c>
      <c r="M71" s="354"/>
      <c r="N71" s="354">
        <f t="shared" si="56"/>
        <v>4.0157480314960631E-3</v>
      </c>
      <c r="O71" s="246" t="str">
        <f t="shared" si="57"/>
        <v>Hydratight HL series: tool no. 2</v>
      </c>
      <c r="P71" s="246" t="str">
        <f t="shared" si="57"/>
        <v>orange</v>
      </c>
      <c r="Q71" s="357">
        <f t="shared" si="58"/>
        <v>96218.113219091116</v>
      </c>
      <c r="R71" s="358">
        <f t="shared" si="58"/>
        <v>4.5275590551181102</v>
      </c>
      <c r="S71" s="358">
        <f t="shared" si="58"/>
        <v>3.1496062992125982</v>
      </c>
      <c r="T71" s="358">
        <f t="shared" si="58"/>
        <v>1.6535433070866141</v>
      </c>
      <c r="U71" s="358">
        <f t="shared" si="58"/>
        <v>8.3858267716535426</v>
      </c>
      <c r="V71" s="359">
        <f t="shared" si="58"/>
        <v>6.6278132556265117</v>
      </c>
      <c r="W71" s="996"/>
      <c r="X71" s="996"/>
      <c r="Y71" s="996">
        <v>1.405</v>
      </c>
      <c r="Z71" s="996">
        <v>2</v>
      </c>
      <c r="AA71" s="996">
        <v>1.5</v>
      </c>
      <c r="AB71" s="996">
        <v>1.5</v>
      </c>
      <c r="AC71" s="996">
        <v>3.25</v>
      </c>
      <c r="AD71" s="996">
        <f>2+3/8</f>
        <v>2.375</v>
      </c>
    </row>
    <row r="72" spans="1:30">
      <c r="A72" s="240">
        <f t="shared" si="54"/>
        <v>10</v>
      </c>
      <c r="B72" s="246" t="str">
        <f t="shared" si="54"/>
        <v>1 5/8"</v>
      </c>
      <c r="C72" s="246" t="str">
        <f t="shared" si="54"/>
        <v>8UN</v>
      </c>
      <c r="D72" s="353">
        <f>1+5/8</f>
        <v>1.625</v>
      </c>
      <c r="E72" s="354">
        <v>1.5438000000000001</v>
      </c>
      <c r="F72" s="354">
        <v>1.4897</v>
      </c>
      <c r="G72" s="355">
        <v>60</v>
      </c>
      <c r="H72" s="355">
        <v>8</v>
      </c>
      <c r="I72" s="354">
        <f t="shared" si="55"/>
        <v>0.125</v>
      </c>
      <c r="J72" s="360">
        <v>1.68</v>
      </c>
      <c r="K72" s="360">
        <v>1.78</v>
      </c>
      <c r="L72" s="354">
        <f>2+9/16</f>
        <v>2.5625</v>
      </c>
      <c r="M72" s="354"/>
      <c r="N72" s="354">
        <f t="shared" si="56"/>
        <v>4.0157480314960631E-3</v>
      </c>
      <c r="O72" s="246" t="str">
        <f t="shared" si="57"/>
        <v>Hydratight HL series: tool no. 3</v>
      </c>
      <c r="P72" s="246" t="str">
        <f t="shared" si="57"/>
        <v>black</v>
      </c>
      <c r="Q72" s="357">
        <f t="shared" si="58"/>
        <v>132861.92736561413</v>
      </c>
      <c r="R72" s="358">
        <f t="shared" si="58"/>
        <v>5.2755905511811019</v>
      </c>
      <c r="S72" s="358">
        <f t="shared" si="58"/>
        <v>3.5826771653543306</v>
      </c>
      <c r="T72" s="358">
        <f t="shared" si="58"/>
        <v>1.7716535433070866</v>
      </c>
      <c r="U72" s="358">
        <f t="shared" si="58"/>
        <v>8.4251968503937</v>
      </c>
      <c r="V72" s="359">
        <f t="shared" si="58"/>
        <v>9.1589683179366368</v>
      </c>
      <c r="W72" s="996"/>
      <c r="X72" s="996"/>
      <c r="Y72" s="996">
        <v>1.68</v>
      </c>
      <c r="Z72" s="1012">
        <f>2+1/8</f>
        <v>2.125</v>
      </c>
      <c r="AA72" s="996"/>
      <c r="AB72" s="996">
        <f>1+5/8</f>
        <v>1.625</v>
      </c>
      <c r="AC72" s="996">
        <v>3.5</v>
      </c>
      <c r="AD72" s="996">
        <f>2+9/16</f>
        <v>2.5625</v>
      </c>
    </row>
    <row r="73" spans="1:30">
      <c r="A73" s="240">
        <f t="shared" si="54"/>
        <v>11</v>
      </c>
      <c r="B73" s="246" t="str">
        <f t="shared" si="54"/>
        <v>1 3/4"</v>
      </c>
      <c r="C73" s="246" t="str">
        <f t="shared" si="54"/>
        <v>8UN</v>
      </c>
      <c r="D73" s="353">
        <v>1.75</v>
      </c>
      <c r="E73" s="354">
        <v>1.6688000000000001</v>
      </c>
      <c r="F73" s="354">
        <v>1.6147</v>
      </c>
      <c r="G73" s="355">
        <v>60</v>
      </c>
      <c r="H73" s="355">
        <v>8</v>
      </c>
      <c r="I73" s="354">
        <f t="shared" si="55"/>
        <v>0.125</v>
      </c>
      <c r="J73" s="360">
        <v>1.98</v>
      </c>
      <c r="K73" s="360">
        <v>2.08</v>
      </c>
      <c r="L73" s="354">
        <v>2.75</v>
      </c>
      <c r="M73" s="354"/>
      <c r="N73" s="354">
        <f t="shared" si="56"/>
        <v>4.0157480314960631E-3</v>
      </c>
      <c r="O73" s="246" t="str">
        <f t="shared" si="57"/>
        <v>Hydratight HL series: tool no. 3</v>
      </c>
      <c r="P73" s="246" t="str">
        <f t="shared" si="57"/>
        <v>black</v>
      </c>
      <c r="Q73" s="357">
        <f t="shared" si="58"/>
        <v>132861.92736561413</v>
      </c>
      <c r="R73" s="358">
        <f t="shared" si="58"/>
        <v>5.2755905511811019</v>
      </c>
      <c r="S73" s="358">
        <f t="shared" si="58"/>
        <v>3.7007874015748032</v>
      </c>
      <c r="T73" s="358">
        <f t="shared" si="58"/>
        <v>1.9291338582677164</v>
      </c>
      <c r="U73" s="358">
        <f t="shared" si="58"/>
        <v>8.5433070866141723</v>
      </c>
      <c r="V73" s="359">
        <f t="shared" si="58"/>
        <v>9.1589683179366368</v>
      </c>
      <c r="W73" s="996"/>
      <c r="X73" s="996"/>
      <c r="Y73" s="996">
        <v>1.98</v>
      </c>
      <c r="Z73" s="996">
        <v>2.25</v>
      </c>
      <c r="AA73" s="996"/>
      <c r="AB73" s="996">
        <v>1.75</v>
      </c>
      <c r="AC73" s="996">
        <v>3.75</v>
      </c>
      <c r="AD73" s="996">
        <v>2.75</v>
      </c>
    </row>
    <row r="74" spans="1:30">
      <c r="A74" s="240">
        <f t="shared" si="54"/>
        <v>12</v>
      </c>
      <c r="B74" s="246" t="str">
        <f t="shared" si="54"/>
        <v>1 7/8"</v>
      </c>
      <c r="C74" s="246" t="str">
        <f t="shared" si="54"/>
        <v>8UN</v>
      </c>
      <c r="D74" s="353">
        <f>1+7/8</f>
        <v>1.875</v>
      </c>
      <c r="E74" s="354">
        <v>1.7938000000000001</v>
      </c>
      <c r="F74" s="354">
        <v>1.7397</v>
      </c>
      <c r="G74" s="355">
        <v>60</v>
      </c>
      <c r="H74" s="355">
        <v>8</v>
      </c>
      <c r="I74" s="354">
        <f t="shared" si="55"/>
        <v>0.125</v>
      </c>
      <c r="J74" s="360">
        <v>2.2999999999999998</v>
      </c>
      <c r="K74" s="360">
        <v>2.41</v>
      </c>
      <c r="L74" s="354">
        <f>2+15/16</f>
        <v>2.9375</v>
      </c>
      <c r="M74" s="354"/>
      <c r="N74" s="354">
        <f t="shared" si="56"/>
        <v>4.0157480314960631E-3</v>
      </c>
      <c r="O74" s="246" t="str">
        <f t="shared" si="57"/>
        <v>Hydratight HL series: tool no. 4</v>
      </c>
      <c r="P74" s="246" t="str">
        <f t="shared" si="57"/>
        <v>red</v>
      </c>
      <c r="Q74" s="357">
        <f t="shared" si="58"/>
        <v>177149.23648748553</v>
      </c>
      <c r="R74" s="358">
        <f t="shared" si="58"/>
        <v>5.9055118110236222</v>
      </c>
      <c r="S74" s="358">
        <f t="shared" si="58"/>
        <v>4.015748031496063</v>
      </c>
      <c r="T74" s="358">
        <f t="shared" si="58"/>
        <v>2.0078740157480315</v>
      </c>
      <c r="U74" s="358">
        <f t="shared" si="58"/>
        <v>8.7401574803149611</v>
      </c>
      <c r="V74" s="359">
        <f t="shared" si="58"/>
        <v>12.215574431148863</v>
      </c>
      <c r="W74" s="996"/>
      <c r="X74" s="996"/>
      <c r="Y74" s="996">
        <v>2.3039999999999998</v>
      </c>
      <c r="Z74" s="996">
        <f>2+3/8</f>
        <v>2.375</v>
      </c>
      <c r="AA74" s="996"/>
      <c r="AB74" s="996">
        <f>1+7/8</f>
        <v>1.875</v>
      </c>
      <c r="AC74" s="996">
        <v>4</v>
      </c>
      <c r="AD74" s="996">
        <f>2+15/16</f>
        <v>2.9375</v>
      </c>
    </row>
    <row r="75" spans="1:30">
      <c r="A75" s="240">
        <f t="shared" si="54"/>
        <v>13</v>
      </c>
      <c r="B75" s="246" t="str">
        <f t="shared" si="54"/>
        <v>2"</v>
      </c>
      <c r="C75" s="246" t="str">
        <f t="shared" si="54"/>
        <v>8UN</v>
      </c>
      <c r="D75" s="353">
        <v>2</v>
      </c>
      <c r="E75" s="354">
        <v>1.9188000000000001</v>
      </c>
      <c r="F75" s="354">
        <v>1.8647</v>
      </c>
      <c r="G75" s="355">
        <v>60</v>
      </c>
      <c r="H75" s="355">
        <v>8</v>
      </c>
      <c r="I75" s="354">
        <f t="shared" si="55"/>
        <v>0.125</v>
      </c>
      <c r="J75" s="360">
        <v>2.65</v>
      </c>
      <c r="K75" s="360">
        <v>2.77</v>
      </c>
      <c r="L75" s="354">
        <v>3.125</v>
      </c>
      <c r="M75" s="354"/>
      <c r="N75" s="354">
        <f t="shared" si="56"/>
        <v>4.0157480314960631E-3</v>
      </c>
      <c r="O75" s="246" t="str">
        <f t="shared" si="57"/>
        <v>Hydratight HL series: tool no. 4</v>
      </c>
      <c r="P75" s="246" t="str">
        <f t="shared" si="57"/>
        <v>red</v>
      </c>
      <c r="Q75" s="357">
        <f t="shared" ref="Q75:V84" si="59">Q20*Q$56</f>
        <v>177149.23648748553</v>
      </c>
      <c r="R75" s="358">
        <f t="shared" si="59"/>
        <v>5.9055118110236222</v>
      </c>
      <c r="S75" s="358">
        <f t="shared" si="59"/>
        <v>4.1338582677165352</v>
      </c>
      <c r="T75" s="358">
        <f t="shared" si="59"/>
        <v>2.1259842519685037</v>
      </c>
      <c r="U75" s="358">
        <f t="shared" si="59"/>
        <v>8.8582677165354333</v>
      </c>
      <c r="V75" s="359">
        <f t="shared" si="59"/>
        <v>12.215574431148863</v>
      </c>
      <c r="W75" s="996"/>
      <c r="X75" s="996"/>
      <c r="Y75" s="996">
        <v>2.6520000000000001</v>
      </c>
      <c r="Z75" s="996">
        <v>2.5</v>
      </c>
      <c r="AA75" s="996"/>
      <c r="AB75" s="996">
        <v>2</v>
      </c>
      <c r="AC75" s="996">
        <v>4.25</v>
      </c>
      <c r="AD75" s="996">
        <f>3+1/8</f>
        <v>3.125</v>
      </c>
    </row>
    <row r="76" spans="1:30">
      <c r="A76" s="240">
        <f t="shared" si="54"/>
        <v>14</v>
      </c>
      <c r="B76" s="246" t="str">
        <f t="shared" si="54"/>
        <v>2 1/4"</v>
      </c>
      <c r="C76" s="246" t="str">
        <f t="shared" si="54"/>
        <v>8UN</v>
      </c>
      <c r="D76" s="353">
        <v>2.25</v>
      </c>
      <c r="E76" s="354">
        <v>2.1688000000000001</v>
      </c>
      <c r="F76" s="354">
        <v>2.1147</v>
      </c>
      <c r="G76" s="355">
        <v>60</v>
      </c>
      <c r="H76" s="355">
        <v>8</v>
      </c>
      <c r="I76" s="354">
        <f t="shared" si="55"/>
        <v>0.125</v>
      </c>
      <c r="J76" s="360">
        <v>3.42</v>
      </c>
      <c r="K76" s="360">
        <v>3.56</v>
      </c>
      <c r="L76" s="354">
        <v>3.5</v>
      </c>
      <c r="M76" s="354"/>
      <c r="N76" s="354">
        <f t="shared" si="56"/>
        <v>5.0000000000000001E-3</v>
      </c>
      <c r="O76" s="246" t="str">
        <f t="shared" si="57"/>
        <v>Hydratight HL series: tool no. 5</v>
      </c>
      <c r="P76" s="246" t="str">
        <f t="shared" si="57"/>
        <v>grey</v>
      </c>
      <c r="Q76" s="357">
        <f t="shared" si="59"/>
        <v>222335.78031233908</v>
      </c>
      <c r="R76" s="358">
        <f t="shared" si="59"/>
        <v>6.5748031496062991</v>
      </c>
      <c r="S76" s="358">
        <f t="shared" si="59"/>
        <v>4.6850393700787398</v>
      </c>
      <c r="T76" s="358">
        <f t="shared" si="59"/>
        <v>2.3228346456692912</v>
      </c>
      <c r="U76" s="358">
        <f t="shared" si="59"/>
        <v>9.0944881889763778</v>
      </c>
      <c r="V76" s="359">
        <f t="shared" si="59"/>
        <v>15.334180668361338</v>
      </c>
      <c r="W76" s="996"/>
      <c r="X76" s="996"/>
      <c r="Y76" s="996">
        <v>3.423</v>
      </c>
      <c r="Z76" s="996">
        <v>2.75</v>
      </c>
      <c r="AA76" s="996"/>
      <c r="AB76" s="996">
        <v>2.25</v>
      </c>
      <c r="AC76" s="996">
        <v>4.75</v>
      </c>
      <c r="AD76" s="996">
        <v>3.5</v>
      </c>
    </row>
    <row r="77" spans="1:30">
      <c r="A77" s="240">
        <f t="shared" si="54"/>
        <v>15</v>
      </c>
      <c r="B77" s="246" t="str">
        <f t="shared" si="54"/>
        <v>2 1/2"</v>
      </c>
      <c r="C77" s="246" t="str">
        <f t="shared" si="54"/>
        <v>8UN</v>
      </c>
      <c r="D77" s="353">
        <v>2.5</v>
      </c>
      <c r="E77" s="354">
        <v>2.4188000000000001</v>
      </c>
      <c r="F77" s="354">
        <v>2.3647</v>
      </c>
      <c r="G77" s="355">
        <v>60</v>
      </c>
      <c r="H77" s="355">
        <v>8</v>
      </c>
      <c r="I77" s="354">
        <f t="shared" si="55"/>
        <v>0.125</v>
      </c>
      <c r="J77" s="360">
        <v>4.29</v>
      </c>
      <c r="K77" s="360">
        <v>4.4400000000000004</v>
      </c>
      <c r="L77" s="354">
        <f>3+7/8</f>
        <v>3.875</v>
      </c>
      <c r="M77" s="354"/>
      <c r="N77" s="354">
        <f t="shared" si="56"/>
        <v>5.0000000000000001E-3</v>
      </c>
      <c r="O77" s="246" t="str">
        <f t="shared" si="57"/>
        <v>Hydratight HL series: tool no. 6</v>
      </c>
      <c r="P77" s="246" t="str">
        <f t="shared" si="57"/>
        <v>white</v>
      </c>
      <c r="Q77" s="357">
        <f t="shared" si="59"/>
        <v>286406.25289981795</v>
      </c>
      <c r="R77" s="358">
        <f t="shared" si="59"/>
        <v>7.4803149606299213</v>
      </c>
      <c r="S77" s="358">
        <f t="shared" si="59"/>
        <v>5.1574803149606296</v>
      </c>
      <c r="T77" s="358">
        <f t="shared" si="59"/>
        <v>2.5590551181102361</v>
      </c>
      <c r="U77" s="358">
        <f t="shared" si="59"/>
        <v>9.7637795275590555</v>
      </c>
      <c r="V77" s="359">
        <f t="shared" si="59"/>
        <v>19.751689503379009</v>
      </c>
      <c r="W77" s="996"/>
      <c r="X77" s="996"/>
      <c r="Y77" s="996">
        <v>4.2919999999999998</v>
      </c>
      <c r="Z77" s="996">
        <f>3+1/16</f>
        <v>3.0625</v>
      </c>
      <c r="AA77" s="996"/>
      <c r="AB77" s="996">
        <f>2+3/8</f>
        <v>2.375</v>
      </c>
      <c r="AC77" s="996">
        <v>5.25</v>
      </c>
      <c r="AD77" s="996">
        <f>3+7/8</f>
        <v>3.875</v>
      </c>
    </row>
    <row r="78" spans="1:30">
      <c r="A78" s="240">
        <f t="shared" si="54"/>
        <v>16</v>
      </c>
      <c r="B78" s="246" t="str">
        <f t="shared" si="54"/>
        <v>2 3/4"</v>
      </c>
      <c r="C78" s="246" t="str">
        <f t="shared" si="54"/>
        <v>8UN</v>
      </c>
      <c r="D78" s="353">
        <v>2.75</v>
      </c>
      <c r="E78" s="354">
        <v>2.6688000000000001</v>
      </c>
      <c r="F78" s="354">
        <v>2.6147</v>
      </c>
      <c r="G78" s="355">
        <v>60</v>
      </c>
      <c r="H78" s="355">
        <v>8</v>
      </c>
      <c r="I78" s="354">
        <f t="shared" si="55"/>
        <v>0.125</v>
      </c>
      <c r="J78" s="360">
        <v>5.26</v>
      </c>
      <c r="K78" s="360">
        <v>5.43</v>
      </c>
      <c r="L78" s="354">
        <v>4.25</v>
      </c>
      <c r="M78" s="354"/>
      <c r="N78" s="354">
        <f t="shared" si="56"/>
        <v>5.0000000000000001E-3</v>
      </c>
      <c r="O78" s="246" t="str">
        <f t="shared" si="57"/>
        <v>Hydratight HL series: tool no. 7</v>
      </c>
      <c r="P78" s="246" t="str">
        <f t="shared" si="57"/>
        <v>brown</v>
      </c>
      <c r="Q78" s="357">
        <f t="shared" si="59"/>
        <v>358345.02913839079</v>
      </c>
      <c r="R78" s="358">
        <f t="shared" si="59"/>
        <v>8.1889763779527556</v>
      </c>
      <c r="S78" s="358">
        <f t="shared" si="59"/>
        <v>5.7480314960629917</v>
      </c>
      <c r="T78" s="358">
        <f t="shared" si="59"/>
        <v>2.795275590551181</v>
      </c>
      <c r="U78" s="358">
        <f t="shared" si="59"/>
        <v>10.15748031496063</v>
      </c>
      <c r="V78" s="359">
        <f t="shared" si="59"/>
        <v>24.713249426498855</v>
      </c>
      <c r="W78" s="996"/>
      <c r="X78" s="996"/>
      <c r="Y78" s="996">
        <v>5.2590000000000003</v>
      </c>
      <c r="Z78" s="996">
        <f>3+3/8</f>
        <v>3.375</v>
      </c>
      <c r="AA78" s="996"/>
      <c r="AB78" s="996">
        <f>2+5/8</f>
        <v>2.625</v>
      </c>
      <c r="AC78" s="996">
        <v>5.75</v>
      </c>
      <c r="AD78" s="996">
        <v>4.25</v>
      </c>
    </row>
    <row r="79" spans="1:30">
      <c r="A79" s="240">
        <f t="shared" si="54"/>
        <v>17</v>
      </c>
      <c r="B79" s="246" t="str">
        <f t="shared" si="54"/>
        <v>3"</v>
      </c>
      <c r="C79" s="246" t="str">
        <f t="shared" si="54"/>
        <v>8UN</v>
      </c>
      <c r="D79" s="353">
        <v>3</v>
      </c>
      <c r="E79" s="354">
        <v>2.9188000000000001</v>
      </c>
      <c r="F79" s="354">
        <v>2.8647</v>
      </c>
      <c r="G79" s="355">
        <v>60</v>
      </c>
      <c r="H79" s="355">
        <v>8</v>
      </c>
      <c r="I79" s="354">
        <f t="shared" si="55"/>
        <v>0.125</v>
      </c>
      <c r="J79" s="360">
        <v>6.32</v>
      </c>
      <c r="K79" s="360">
        <v>6.51</v>
      </c>
      <c r="L79" s="354">
        <f>4+5/8</f>
        <v>4.625</v>
      </c>
      <c r="M79" s="354"/>
      <c r="N79" s="354">
        <f t="shared" si="56"/>
        <v>5.9842519685039371E-3</v>
      </c>
      <c r="O79" s="246" t="str">
        <f t="shared" si="57"/>
        <v>Hydratight HL series: tool no. 8</v>
      </c>
      <c r="P79" s="246" t="str">
        <f t="shared" si="57"/>
        <v>light green</v>
      </c>
      <c r="Q79" s="357">
        <f t="shared" si="59"/>
        <v>411849.49396582932</v>
      </c>
      <c r="R79" s="358">
        <f t="shared" si="59"/>
        <v>8.7401574803149611</v>
      </c>
      <c r="S79" s="358">
        <f t="shared" si="59"/>
        <v>6.1811023622047241</v>
      </c>
      <c r="T79" s="358">
        <f t="shared" si="59"/>
        <v>3.0314960629921259</v>
      </c>
      <c r="U79" s="358">
        <f t="shared" si="59"/>
        <v>10.433070866141732</v>
      </c>
      <c r="V79" s="359">
        <f t="shared" si="59"/>
        <v>28.397606795213591</v>
      </c>
      <c r="W79" s="996"/>
      <c r="X79" s="996"/>
      <c r="Y79" s="996">
        <v>6.3239999999999998</v>
      </c>
      <c r="Z79" s="996">
        <f>3+5/8</f>
        <v>3.625</v>
      </c>
      <c r="AA79" s="996"/>
      <c r="AB79" s="996">
        <f>2+7/8</f>
        <v>2.875</v>
      </c>
      <c r="AC79" s="996">
        <v>6.25</v>
      </c>
      <c r="AD79" s="996">
        <f>4+5/8</f>
        <v>4.625</v>
      </c>
    </row>
    <row r="80" spans="1:30">
      <c r="A80" s="240">
        <f t="shared" si="54"/>
        <v>18</v>
      </c>
      <c r="B80" s="246" t="str">
        <f t="shared" si="54"/>
        <v>3 1/4"</v>
      </c>
      <c r="C80" s="246" t="str">
        <f t="shared" si="54"/>
        <v>8UN</v>
      </c>
      <c r="D80" s="353">
        <v>3.25</v>
      </c>
      <c r="E80" s="354">
        <v>3.1688000000000001</v>
      </c>
      <c r="F80" s="354">
        <v>3.1147</v>
      </c>
      <c r="G80" s="355">
        <v>60</v>
      </c>
      <c r="H80" s="355">
        <v>8</v>
      </c>
      <c r="I80" s="354">
        <f t="shared" si="55"/>
        <v>0.125</v>
      </c>
      <c r="J80" s="360">
        <v>7.49</v>
      </c>
      <c r="K80" s="360">
        <v>7.69</v>
      </c>
      <c r="L80" s="354">
        <v>5</v>
      </c>
      <c r="M80" s="354"/>
      <c r="N80" s="354">
        <f t="shared" si="56"/>
        <v>5.9842519685039371E-3</v>
      </c>
      <c r="O80" s="246" t="str">
        <f t="shared" si="57"/>
        <v>Hydratight HL series: tool no. 8.5</v>
      </c>
      <c r="P80" s="246" t="str">
        <f t="shared" si="57"/>
        <v>light blue</v>
      </c>
      <c r="Q80" s="357">
        <f t="shared" si="59"/>
        <v>489633.29577378614</v>
      </c>
      <c r="R80" s="358">
        <f t="shared" si="59"/>
        <v>9.4094488188976371</v>
      </c>
      <c r="S80" s="358">
        <f t="shared" si="59"/>
        <v>6.8897637795275593</v>
      </c>
      <c r="T80" s="358">
        <f t="shared" si="59"/>
        <v>3.4251968503937009</v>
      </c>
      <c r="U80" s="358">
        <f t="shared" si="59"/>
        <v>10.78740157480315</v>
      </c>
      <c r="V80" s="359">
        <f t="shared" si="59"/>
        <v>33.755967511935026</v>
      </c>
      <c r="W80" s="996"/>
      <c r="X80" s="996"/>
      <c r="Y80" s="996">
        <v>7.4870000000000001</v>
      </c>
      <c r="Z80" s="996">
        <f>3.75</f>
        <v>3.75</v>
      </c>
      <c r="AA80" s="996"/>
      <c r="AB80" s="996">
        <v>3</v>
      </c>
      <c r="AC80" s="996">
        <f>6+5/8</f>
        <v>6.625</v>
      </c>
      <c r="AD80" s="996">
        <v>5</v>
      </c>
    </row>
    <row r="81" spans="1:30">
      <c r="A81" s="240">
        <f t="shared" si="54"/>
        <v>19</v>
      </c>
      <c r="B81" s="246" t="str">
        <f t="shared" si="54"/>
        <v>3 1/2"</v>
      </c>
      <c r="C81" s="246" t="str">
        <f t="shared" si="54"/>
        <v>8UN</v>
      </c>
      <c r="D81" s="353">
        <v>3.5</v>
      </c>
      <c r="E81" s="354">
        <v>3.4188000000000001</v>
      </c>
      <c r="F81" s="354">
        <v>3.3647</v>
      </c>
      <c r="G81" s="355">
        <v>60</v>
      </c>
      <c r="H81" s="355">
        <v>8</v>
      </c>
      <c r="I81" s="354">
        <f t="shared" si="55"/>
        <v>0.125</v>
      </c>
      <c r="J81" s="360">
        <v>8.75</v>
      </c>
      <c r="K81" s="360">
        <v>8.9600000000000009</v>
      </c>
      <c r="L81" s="354">
        <v>5.375</v>
      </c>
      <c r="M81" s="354"/>
      <c r="N81" s="354">
        <f t="shared" si="56"/>
        <v>5.9842519685039371E-3</v>
      </c>
      <c r="O81" s="246" t="str">
        <f t="shared" si="57"/>
        <v>Hydratight HL series: tool no. 8.5</v>
      </c>
      <c r="P81" s="246" t="str">
        <f t="shared" si="57"/>
        <v>light blue</v>
      </c>
      <c r="Q81" s="357">
        <f t="shared" si="59"/>
        <v>489633.29577378614</v>
      </c>
      <c r="R81" s="358">
        <f t="shared" si="59"/>
        <v>9.4094488188976371</v>
      </c>
      <c r="S81" s="358">
        <f t="shared" si="59"/>
        <v>6.9685039370078741</v>
      </c>
      <c r="T81" s="358">
        <f t="shared" si="59"/>
        <v>3.6614173228346458</v>
      </c>
      <c r="U81" s="358">
        <f t="shared" si="59"/>
        <v>11.062992125984252</v>
      </c>
      <c r="V81" s="359">
        <f t="shared" si="59"/>
        <v>33.755967511935026</v>
      </c>
      <c r="W81" s="996"/>
      <c r="X81" s="996"/>
      <c r="Y81" s="996">
        <v>8.7490000000000006</v>
      </c>
      <c r="Z81" s="996">
        <f>4+1/8</f>
        <v>4.125</v>
      </c>
      <c r="AA81" s="996"/>
      <c r="AB81" s="996">
        <v>3.25</v>
      </c>
      <c r="AC81" s="996">
        <f>7+1/8</f>
        <v>7.125</v>
      </c>
      <c r="AD81" s="996">
        <f>5+3/8</f>
        <v>5.375</v>
      </c>
    </row>
    <row r="82" spans="1:30">
      <c r="A82" s="240">
        <f t="shared" si="54"/>
        <v>20</v>
      </c>
      <c r="B82" s="246" t="str">
        <f t="shared" si="54"/>
        <v>3 3/4"</v>
      </c>
      <c r="C82" s="246" t="str">
        <f t="shared" si="54"/>
        <v>8UN</v>
      </c>
      <c r="D82" s="353">
        <v>3.75</v>
      </c>
      <c r="E82" s="354">
        <v>3.6688000000000001</v>
      </c>
      <c r="F82" s="354">
        <v>3.6147</v>
      </c>
      <c r="G82" s="355">
        <v>60</v>
      </c>
      <c r="H82" s="355">
        <v>8</v>
      </c>
      <c r="I82" s="354">
        <f t="shared" si="55"/>
        <v>0.125</v>
      </c>
      <c r="J82" s="360">
        <v>10.11</v>
      </c>
      <c r="K82" s="360">
        <v>10.34</v>
      </c>
      <c r="L82" s="354">
        <v>5.75</v>
      </c>
      <c r="M82" s="354"/>
      <c r="N82" s="354">
        <f t="shared" si="56"/>
        <v>5.9842519685039371E-3</v>
      </c>
      <c r="O82" s="246" t="str">
        <f t="shared" si="57"/>
        <v>Hydratight HL series: tool no. 10</v>
      </c>
      <c r="P82" s="246" t="str">
        <f t="shared" si="57"/>
        <v>gold</v>
      </c>
      <c r="Q82" s="357">
        <f t="shared" si="59"/>
        <v>587874.6870745871</v>
      </c>
      <c r="R82" s="358">
        <f t="shared" si="59"/>
        <v>10.866141732283465</v>
      </c>
      <c r="S82" s="358">
        <f t="shared" si="59"/>
        <v>7.9527559055118111</v>
      </c>
      <c r="T82" s="358">
        <f t="shared" si="59"/>
        <v>3.8976377952755903</v>
      </c>
      <c r="U82" s="358">
        <f t="shared" si="59"/>
        <v>11.653543307086615</v>
      </c>
      <c r="V82" s="359">
        <f t="shared" si="59"/>
        <v>40.527931055862112</v>
      </c>
      <c r="W82" s="996"/>
      <c r="X82" s="996"/>
      <c r="Y82" s="996">
        <v>10.108000000000001</v>
      </c>
      <c r="Z82" s="996">
        <f>4+7/16</f>
        <v>4.4375</v>
      </c>
      <c r="AA82" s="996"/>
      <c r="AB82" s="996">
        <v>3.5</v>
      </c>
      <c r="AC82" s="996">
        <f>7+5/8</f>
        <v>7.625</v>
      </c>
      <c r="AD82" s="996">
        <v>5.75</v>
      </c>
    </row>
    <row r="83" spans="1:30">
      <c r="A83" s="240">
        <f t="shared" si="54"/>
        <v>21</v>
      </c>
      <c r="B83" s="246" t="str">
        <f t="shared" si="54"/>
        <v>4"</v>
      </c>
      <c r="C83" s="246" t="str">
        <f t="shared" si="54"/>
        <v>8UN</v>
      </c>
      <c r="D83" s="353">
        <v>4</v>
      </c>
      <c r="E83" s="354">
        <v>3.9188000000000001</v>
      </c>
      <c r="F83" s="354">
        <v>3.8647</v>
      </c>
      <c r="G83" s="355">
        <v>60</v>
      </c>
      <c r="H83" s="355">
        <v>8</v>
      </c>
      <c r="I83" s="354">
        <f t="shared" si="55"/>
        <v>0.125</v>
      </c>
      <c r="J83" s="360">
        <v>11.57</v>
      </c>
      <c r="K83" s="360">
        <v>11.81</v>
      </c>
      <c r="L83" s="354">
        <v>6.125</v>
      </c>
      <c r="M83" s="354"/>
      <c r="N83" s="354">
        <f t="shared" si="56"/>
        <v>5.9842519685039371E-3</v>
      </c>
      <c r="O83" s="246" t="str">
        <f t="shared" si="57"/>
        <v>Hydratight HL series: tool no. 10</v>
      </c>
      <c r="P83" s="246" t="str">
        <f t="shared" si="57"/>
        <v>gold</v>
      </c>
      <c r="Q83" s="357">
        <f t="shared" si="59"/>
        <v>587874.6870745871</v>
      </c>
      <c r="R83" s="358">
        <f t="shared" si="59"/>
        <v>10.866141732283465</v>
      </c>
      <c r="S83" s="358">
        <f t="shared" si="59"/>
        <v>8.3464566929133852</v>
      </c>
      <c r="T83" s="358">
        <f t="shared" si="59"/>
        <v>4.1338582677165352</v>
      </c>
      <c r="U83" s="358">
        <f t="shared" si="59"/>
        <v>11.889763779527559</v>
      </c>
      <c r="V83" s="359">
        <f t="shared" si="59"/>
        <v>40.527931055862112</v>
      </c>
      <c r="W83" s="996"/>
      <c r="X83" s="996"/>
      <c r="Y83" s="996">
        <v>11.566000000000001</v>
      </c>
      <c r="Z83" s="996">
        <f>4+5/8</f>
        <v>4.625</v>
      </c>
      <c r="AA83" s="996"/>
      <c r="AB83" s="996">
        <f>3+5/8</f>
        <v>3.625</v>
      </c>
      <c r="AC83" s="996">
        <f>8+1/8</f>
        <v>8.125</v>
      </c>
      <c r="AD83" s="996">
        <f>6+1/8</f>
        <v>6.125</v>
      </c>
    </row>
    <row r="84" spans="1:30" ht="13.5" thickBot="1">
      <c r="A84" s="279">
        <v>22</v>
      </c>
      <c r="B84" s="361" t="s">
        <v>905</v>
      </c>
      <c r="C84" s="309" t="s">
        <v>906</v>
      </c>
      <c r="D84" s="362">
        <v>0</v>
      </c>
      <c r="E84" s="363">
        <v>0</v>
      </c>
      <c r="F84" s="363">
        <v>0</v>
      </c>
      <c r="G84" s="311">
        <v>0</v>
      </c>
      <c r="H84" s="311">
        <v>0</v>
      </c>
      <c r="I84" s="363">
        <v>0</v>
      </c>
      <c r="J84" s="310">
        <v>0</v>
      </c>
      <c r="K84" s="310">
        <v>0</v>
      </c>
      <c r="L84" s="364">
        <v>0</v>
      </c>
      <c r="M84" s="364"/>
      <c r="N84" s="364">
        <v>0</v>
      </c>
      <c r="O84" s="315">
        <v>0</v>
      </c>
      <c r="P84" s="315" t="s">
        <v>906</v>
      </c>
      <c r="Q84" s="317">
        <v>0</v>
      </c>
      <c r="R84" s="365">
        <v>0</v>
      </c>
      <c r="S84" s="365">
        <v>0</v>
      </c>
      <c r="T84" s="365">
        <v>0</v>
      </c>
      <c r="U84" s="365">
        <v>0</v>
      </c>
      <c r="V84" s="366">
        <v>0</v>
      </c>
      <c r="W84" s="997"/>
      <c r="X84" s="997"/>
      <c r="Y84" s="997"/>
      <c r="Z84" s="997"/>
      <c r="AA84" s="997"/>
      <c r="AB84" s="997"/>
      <c r="AC84" s="997"/>
      <c r="AD84" s="997"/>
    </row>
  </sheetData>
  <phoneticPr fontId="0" type="noConversion"/>
  <pageMargins left="0.75" right="0.75" top="1" bottom="1" header="0.5" footer="0.5"/>
  <pageSetup paperSize="9" orientation="portrait" horizontalDpi="1200" verticalDpi="1200"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S146"/>
  <sheetViews>
    <sheetView tabSelected="1" topLeftCell="A106" zoomScaleNormal="100" workbookViewId="0">
      <selection activeCell="G78" sqref="G78"/>
    </sheetView>
  </sheetViews>
  <sheetFormatPr defaultRowHeight="12.75"/>
  <cols>
    <col min="2" max="2" width="29.140625" customWidth="1"/>
    <col min="4" max="4" width="13" customWidth="1"/>
    <col min="5" max="5" width="12.85546875" customWidth="1"/>
    <col min="8" max="8" width="9.85546875" customWidth="1"/>
    <col min="9" max="9" width="9.42578125" customWidth="1"/>
    <col min="11" max="11" width="10.28515625" customWidth="1"/>
    <col min="16" max="16" width="10.28515625" customWidth="1"/>
  </cols>
  <sheetData>
    <row r="1" spans="1:17" ht="18">
      <c r="B1" s="10" t="s">
        <v>397</v>
      </c>
    </row>
    <row r="2" spans="1:17">
      <c r="B2" s="30" t="s">
        <v>455</v>
      </c>
    </row>
    <row r="3" spans="1:17">
      <c r="B3" s="30" t="s">
        <v>340</v>
      </c>
    </row>
    <row r="4" spans="1:17">
      <c r="B4" s="13" t="s">
        <v>132</v>
      </c>
    </row>
    <row r="5" spans="1:17">
      <c r="B5" t="s">
        <v>86</v>
      </c>
      <c r="C5" t="s">
        <v>98</v>
      </c>
      <c r="D5" s="70">
        <v>0.59</v>
      </c>
      <c r="E5" t="s">
        <v>87</v>
      </c>
    </row>
    <row r="6" spans="1:17">
      <c r="B6" t="s">
        <v>152</v>
      </c>
      <c r="C6" t="s">
        <v>153</v>
      </c>
      <c r="D6" s="11">
        <v>225</v>
      </c>
      <c r="E6" t="s">
        <v>154</v>
      </c>
    </row>
    <row r="7" spans="1:17">
      <c r="B7" t="s">
        <v>99</v>
      </c>
      <c r="C7" t="s">
        <v>100</v>
      </c>
      <c r="D7" s="70">
        <v>2.0299999999999998</v>
      </c>
      <c r="E7" t="s">
        <v>87</v>
      </c>
    </row>
    <row r="8" spans="1:17" ht="15.75" customHeight="1">
      <c r="B8" t="s">
        <v>224</v>
      </c>
      <c r="D8" s="11"/>
      <c r="E8" s="33">
        <v>1</v>
      </c>
      <c r="O8" t="s">
        <v>298</v>
      </c>
      <c r="Q8">
        <v>1</v>
      </c>
    </row>
    <row r="9" spans="1:17">
      <c r="A9" t="s">
        <v>108</v>
      </c>
      <c r="B9" t="s">
        <v>156</v>
      </c>
      <c r="D9" s="1113" t="s">
        <v>1515</v>
      </c>
      <c r="O9" t="s">
        <v>299</v>
      </c>
      <c r="Q9">
        <v>2</v>
      </c>
    </row>
    <row r="10" spans="1:17" ht="12.75" customHeight="1">
      <c r="B10" t="s">
        <v>249</v>
      </c>
      <c r="C10" s="38"/>
      <c r="D10" s="11">
        <v>0.3</v>
      </c>
      <c r="E10" s="12" t="s">
        <v>116</v>
      </c>
      <c r="O10" t="s">
        <v>300</v>
      </c>
      <c r="Q10">
        <v>3</v>
      </c>
    </row>
    <row r="11" spans="1:17">
      <c r="A11" t="s">
        <v>108</v>
      </c>
      <c r="B11" t="s">
        <v>398</v>
      </c>
      <c r="C11" t="s">
        <v>403</v>
      </c>
      <c r="D11" s="11">
        <v>115.1</v>
      </c>
      <c r="E11" t="s">
        <v>87</v>
      </c>
    </row>
    <row r="12" spans="1:17">
      <c r="A12" t="s">
        <v>108</v>
      </c>
      <c r="B12" t="s">
        <v>399</v>
      </c>
      <c r="C12" t="s">
        <v>404</v>
      </c>
      <c r="D12" s="11">
        <v>78.599999999999994</v>
      </c>
      <c r="E12" t="s">
        <v>87</v>
      </c>
    </row>
    <row r="13" spans="1:17">
      <c r="B13" t="s">
        <v>452</v>
      </c>
      <c r="C13" t="s">
        <v>449</v>
      </c>
      <c r="D13" s="74">
        <v>200000</v>
      </c>
      <c r="E13" t="s">
        <v>87</v>
      </c>
    </row>
    <row r="14" spans="1:17">
      <c r="B14" t="s">
        <v>453</v>
      </c>
      <c r="C14" t="s">
        <v>454</v>
      </c>
      <c r="D14" s="74">
        <v>200000</v>
      </c>
      <c r="E14" t="s">
        <v>87</v>
      </c>
    </row>
    <row r="15" spans="1:17">
      <c r="A15" t="s">
        <v>108</v>
      </c>
      <c r="B15" t="s">
        <v>106</v>
      </c>
      <c r="C15" t="s">
        <v>49</v>
      </c>
      <c r="D15" s="11">
        <v>3800</v>
      </c>
      <c r="E15" t="s">
        <v>104</v>
      </c>
    </row>
    <row r="16" spans="1:17">
      <c r="A16" t="s">
        <v>108</v>
      </c>
      <c r="B16" t="s">
        <v>195</v>
      </c>
      <c r="C16" t="s">
        <v>93</v>
      </c>
      <c r="D16" s="11">
        <v>185</v>
      </c>
      <c r="E16" t="s">
        <v>104</v>
      </c>
    </row>
    <row r="17" spans="1:5">
      <c r="A17" t="s">
        <v>108</v>
      </c>
      <c r="B17" t="s">
        <v>103</v>
      </c>
      <c r="C17" t="s">
        <v>50</v>
      </c>
      <c r="D17" s="11">
        <v>3594</v>
      </c>
      <c r="E17" t="s">
        <v>104</v>
      </c>
    </row>
    <row r="18" spans="1:5">
      <c r="A18" t="s">
        <v>108</v>
      </c>
      <c r="B18" t="s">
        <v>155</v>
      </c>
      <c r="C18" t="s">
        <v>51</v>
      </c>
      <c r="D18" s="11">
        <v>3725</v>
      </c>
      <c r="E18" t="s">
        <v>104</v>
      </c>
    </row>
    <row r="19" spans="1:5">
      <c r="A19" t="s">
        <v>108</v>
      </c>
      <c r="B19" t="s">
        <v>219</v>
      </c>
      <c r="C19" t="s">
        <v>218</v>
      </c>
      <c r="D19" s="11">
        <v>60</v>
      </c>
      <c r="E19" t="s">
        <v>104</v>
      </c>
    </row>
    <row r="20" spans="1:5">
      <c r="A20" t="s">
        <v>108</v>
      </c>
      <c r="B20" t="s">
        <v>220</v>
      </c>
      <c r="C20" t="s">
        <v>192</v>
      </c>
      <c r="D20" s="11">
        <v>20</v>
      </c>
      <c r="E20" t="s">
        <v>104</v>
      </c>
    </row>
    <row r="21" spans="1:5">
      <c r="A21" t="s">
        <v>108</v>
      </c>
      <c r="B21" t="s">
        <v>221</v>
      </c>
      <c r="C21" t="s">
        <v>193</v>
      </c>
      <c r="D21" s="11">
        <v>25</v>
      </c>
      <c r="E21" t="s">
        <v>104</v>
      </c>
    </row>
    <row r="22" spans="1:5">
      <c r="A22" t="s">
        <v>107</v>
      </c>
      <c r="B22" t="s">
        <v>106</v>
      </c>
      <c r="C22" t="s">
        <v>405</v>
      </c>
      <c r="D22" s="11">
        <v>3670</v>
      </c>
      <c r="E22" t="s">
        <v>104</v>
      </c>
    </row>
    <row r="23" spans="1:5">
      <c r="A23" t="s">
        <v>107</v>
      </c>
      <c r="B23" t="s">
        <v>406</v>
      </c>
      <c r="C23" t="s">
        <v>91</v>
      </c>
      <c r="D23" s="11">
        <v>16</v>
      </c>
      <c r="E23" t="s">
        <v>104</v>
      </c>
    </row>
    <row r="24" spans="1:5">
      <c r="A24" t="s">
        <v>107</v>
      </c>
      <c r="B24" t="s">
        <v>118</v>
      </c>
      <c r="C24" t="s">
        <v>84</v>
      </c>
      <c r="D24" s="14">
        <f>VLOOKUP(E26,'gasket factors'!B8:E61,3)</f>
        <v>3.75</v>
      </c>
      <c r="E24" s="12" t="s">
        <v>116</v>
      </c>
    </row>
    <row r="25" spans="1:5">
      <c r="A25" t="s">
        <v>107</v>
      </c>
      <c r="B25" t="s">
        <v>118</v>
      </c>
      <c r="C25" t="s">
        <v>85</v>
      </c>
      <c r="D25" s="22">
        <f>VLOOKUP(E26,'gasket factors'!B8:E61,4)</f>
        <v>52.4</v>
      </c>
      <c r="E25" t="s">
        <v>87</v>
      </c>
    </row>
    <row r="26" spans="1:5">
      <c r="B26" t="s">
        <v>62</v>
      </c>
      <c r="D26" s="11"/>
      <c r="E26" s="33">
        <v>31</v>
      </c>
    </row>
    <row r="27" spans="1:5">
      <c r="D27" s="11"/>
    </row>
    <row r="28" spans="1:5">
      <c r="A28" t="s">
        <v>126</v>
      </c>
      <c r="B28" t="s">
        <v>71</v>
      </c>
      <c r="C28" t="s">
        <v>125</v>
      </c>
      <c r="D28" s="11">
        <v>120</v>
      </c>
      <c r="E28" s="12" t="s">
        <v>116</v>
      </c>
    </row>
    <row r="29" spans="1:5">
      <c r="A29" t="s">
        <v>126</v>
      </c>
      <c r="B29" t="s">
        <v>127</v>
      </c>
      <c r="C29" t="s">
        <v>128</v>
      </c>
      <c r="D29" s="11">
        <v>25.4</v>
      </c>
      <c r="E29" t="s">
        <v>104</v>
      </c>
    </row>
    <row r="30" spans="1:5">
      <c r="C30" t="s">
        <v>402</v>
      </c>
      <c r="D30" s="11">
        <v>22.31</v>
      </c>
      <c r="E30" t="s">
        <v>104</v>
      </c>
    </row>
    <row r="31" spans="1:5">
      <c r="A31" t="s">
        <v>126</v>
      </c>
      <c r="B31" t="s">
        <v>61</v>
      </c>
      <c r="D31" s="11" t="s">
        <v>401</v>
      </c>
    </row>
    <row r="32" spans="1:5">
      <c r="A32" t="s">
        <v>126</v>
      </c>
      <c r="B32" t="s">
        <v>398</v>
      </c>
      <c r="C32" t="s">
        <v>400</v>
      </c>
      <c r="D32" s="11">
        <v>172.4</v>
      </c>
      <c r="E32" t="s">
        <v>87</v>
      </c>
    </row>
    <row r="33" spans="2:6">
      <c r="B33" t="s">
        <v>399</v>
      </c>
      <c r="C33" t="s">
        <v>412</v>
      </c>
      <c r="D33" s="11">
        <v>172.4</v>
      </c>
      <c r="E33" t="s">
        <v>87</v>
      </c>
    </row>
    <row r="34" spans="2:6">
      <c r="D34" s="11"/>
    </row>
    <row r="35" spans="2:6">
      <c r="B35" t="s">
        <v>178</v>
      </c>
      <c r="C35" t="s">
        <v>179</v>
      </c>
      <c r="D35" s="11">
        <v>355.5</v>
      </c>
      <c r="E35" t="s">
        <v>92</v>
      </c>
    </row>
    <row r="36" spans="2:6">
      <c r="D36" s="11"/>
    </row>
    <row r="37" spans="2:6" s="18" customFormat="1">
      <c r="D37" s="19"/>
    </row>
    <row r="38" spans="2:6" s="5" customFormat="1">
      <c r="B38" s="20" t="s">
        <v>131</v>
      </c>
      <c r="D38" s="21"/>
    </row>
    <row r="41" spans="2:6">
      <c r="B41" t="s">
        <v>164</v>
      </c>
      <c r="C41" t="s">
        <v>163</v>
      </c>
      <c r="D41" s="14">
        <f>IF(OR(E26=39,E26=40,E26=41),D23/8,D23/2)</f>
        <v>8</v>
      </c>
      <c r="E41" t="s">
        <v>104</v>
      </c>
    </row>
    <row r="42" spans="2:6">
      <c r="B42" t="s">
        <v>191</v>
      </c>
      <c r="C42" t="s">
        <v>166</v>
      </c>
      <c r="D42" s="14">
        <f>IF(D41&lt;=6,D41,2.52*SQRT(D41))</f>
        <v>7.1276363543603996</v>
      </c>
      <c r="E42" t="s">
        <v>104</v>
      </c>
      <c r="F42" s="12"/>
    </row>
    <row r="43" spans="2:6">
      <c r="B43" t="s">
        <v>186</v>
      </c>
      <c r="C43" t="s">
        <v>83</v>
      </c>
      <c r="D43" s="14">
        <f>IF(D41&lt;=6.3,D22-D23,D22-2*D42)</f>
        <v>3655.7447272912791</v>
      </c>
      <c r="E43" t="s">
        <v>104</v>
      </c>
    </row>
    <row r="44" spans="2:6">
      <c r="B44" t="s">
        <v>408</v>
      </c>
      <c r="C44" t="s">
        <v>407</v>
      </c>
      <c r="D44" s="14">
        <f>(D18-D17)/2-D21</f>
        <v>40.5</v>
      </c>
      <c r="E44" t="s">
        <v>104</v>
      </c>
    </row>
    <row r="45" spans="2:6">
      <c r="D45" s="14"/>
    </row>
    <row r="46" spans="2:6">
      <c r="D46" s="14"/>
    </row>
    <row r="47" spans="2:6">
      <c r="D47" s="41" t="s">
        <v>316</v>
      </c>
      <c r="E47" s="42"/>
    </row>
    <row r="48" spans="2:6">
      <c r="B48" t="s">
        <v>187</v>
      </c>
      <c r="C48" t="s">
        <v>88</v>
      </c>
      <c r="D48" s="9">
        <f>PI()/4*($D$43^2*D5)</f>
        <v>6192893.5871998239</v>
      </c>
      <c r="E48" s="9"/>
      <c r="F48" t="s">
        <v>91</v>
      </c>
    </row>
    <row r="49" spans="2:10">
      <c r="B49" t="s">
        <v>188</v>
      </c>
      <c r="C49" t="s">
        <v>409</v>
      </c>
      <c r="D49" s="9">
        <f>2*PI()*$D$43*$D$42*$D$24*D5</f>
        <v>362230.10710748006</v>
      </c>
      <c r="E49" s="9"/>
      <c r="F49" t="s">
        <v>91</v>
      </c>
    </row>
    <row r="50" spans="2:10">
      <c r="B50" t="s">
        <v>227</v>
      </c>
      <c r="C50" t="s">
        <v>411</v>
      </c>
      <c r="D50" s="9">
        <f>PI()*$D$42*$D$43*$D$25</f>
        <v>4289459.3474422498</v>
      </c>
      <c r="E50" s="9"/>
      <c r="F50" t="s">
        <v>91</v>
      </c>
    </row>
    <row r="51" spans="2:10">
      <c r="B51" t="s">
        <v>228</v>
      </c>
      <c r="C51" t="s">
        <v>410</v>
      </c>
      <c r="D51" s="9">
        <f>D48+D49</f>
        <v>6555123.694307304</v>
      </c>
      <c r="E51" s="9"/>
      <c r="F51" t="s">
        <v>91</v>
      </c>
    </row>
    <row r="52" spans="2:10">
      <c r="B52" t="s">
        <v>174</v>
      </c>
      <c r="C52" t="s">
        <v>413</v>
      </c>
      <c r="D52" s="9">
        <f>MAX(D51/D33,D50/D32)</f>
        <v>38022.759247722177</v>
      </c>
      <c r="E52" s="9"/>
      <c r="F52" t="s">
        <v>92</v>
      </c>
    </row>
    <row r="53" spans="2:10">
      <c r="B53" t="s">
        <v>176</v>
      </c>
      <c r="C53" t="s">
        <v>177</v>
      </c>
      <c r="D53" s="9">
        <f>$D$28*$D$35</f>
        <v>42660</v>
      </c>
      <c r="E53" s="9"/>
      <c r="F53" s="9" t="s">
        <v>92</v>
      </c>
      <c r="G53" s="15" t="str">
        <f>IF(D53&gt;=D52,"OK","insufficient bolt area")</f>
        <v>OK</v>
      </c>
    </row>
    <row r="54" spans="2:10">
      <c r="B54" t="s">
        <v>229</v>
      </c>
      <c r="C54" t="s">
        <v>230</v>
      </c>
      <c r="D54" s="43">
        <f>D52/D53</f>
        <v>0.89129768513179042</v>
      </c>
      <c r="E54" s="43"/>
      <c r="F54" s="9"/>
      <c r="G54" s="9"/>
    </row>
    <row r="55" spans="2:10">
      <c r="B55" t="s">
        <v>189</v>
      </c>
      <c r="C55" t="s">
        <v>89</v>
      </c>
      <c r="D55" s="9">
        <f>PI()/4*$D$17^2*D5</f>
        <v>5985466.9700705642</v>
      </c>
      <c r="E55" s="9"/>
      <c r="F55" s="9" t="s">
        <v>91</v>
      </c>
      <c r="G55" s="9"/>
    </row>
    <row r="56" spans="2:10">
      <c r="B56" t="s">
        <v>190</v>
      </c>
      <c r="C56" t="s">
        <v>90</v>
      </c>
      <c r="D56" s="9">
        <f>D48-D55</f>
        <v>207426.61712925974</v>
      </c>
      <c r="E56" s="9"/>
      <c r="F56" s="9" t="s">
        <v>91</v>
      </c>
      <c r="G56" s="9"/>
    </row>
    <row r="57" spans="2:10">
      <c r="B57" t="s">
        <v>209</v>
      </c>
      <c r="C57" t="s">
        <v>183</v>
      </c>
      <c r="D57" s="22">
        <f>IF(E8=1,D44+0.5*D21,(D18-D17)/2)</f>
        <v>53</v>
      </c>
      <c r="E57" s="22"/>
      <c r="F57" s="9" t="s">
        <v>104</v>
      </c>
      <c r="G57" s="9"/>
    </row>
    <row r="58" spans="2:10">
      <c r="B58" t="s">
        <v>208</v>
      </c>
      <c r="C58" t="s">
        <v>184</v>
      </c>
      <c r="D58" s="24">
        <f>(D18-D43)/2</f>
        <v>34.627636354360448</v>
      </c>
      <c r="E58" s="22"/>
      <c r="F58" s="23" t="s">
        <v>104</v>
      </c>
      <c r="G58" s="23"/>
    </row>
    <row r="59" spans="2:10">
      <c r="B59" t="s">
        <v>210</v>
      </c>
      <c r="C59" t="s">
        <v>185</v>
      </c>
      <c r="D59" s="22">
        <f>IF(E8=1,(D44+D21+D58)/2,IF(E8=2,D57+D58,(D18-D43)/2))</f>
        <v>50.063818177180224</v>
      </c>
      <c r="E59" s="22"/>
      <c r="F59" s="16" t="s">
        <v>104</v>
      </c>
      <c r="G59" s="16"/>
    </row>
    <row r="60" spans="2:10">
      <c r="B60" t="s">
        <v>414</v>
      </c>
      <c r="C60" t="s">
        <v>199</v>
      </c>
      <c r="D60" s="9">
        <f>0.5*($D$52+$D$53)*D32</f>
        <v>6954853.8471536515</v>
      </c>
      <c r="E60" s="9"/>
      <c r="F60" s="9" t="s">
        <v>91</v>
      </c>
      <c r="G60" s="9"/>
    </row>
    <row r="61" spans="2:10">
      <c r="B61" t="s">
        <v>415</v>
      </c>
      <c r="C61" t="s">
        <v>168</v>
      </c>
      <c r="D61" s="9">
        <f>D51-D48</f>
        <v>362230.10710748006</v>
      </c>
      <c r="E61" s="9"/>
      <c r="F61" s="9" t="s">
        <v>91</v>
      </c>
      <c r="G61" s="9"/>
    </row>
    <row r="62" spans="2:10">
      <c r="B62" t="s">
        <v>205</v>
      </c>
      <c r="C62" t="s">
        <v>201</v>
      </c>
      <c r="D62" s="9">
        <f>D60*D58</f>
        <v>240830149.9169614</v>
      </c>
      <c r="E62" s="9"/>
      <c r="F62" s="9" t="s">
        <v>202</v>
      </c>
    </row>
    <row r="63" spans="2:10">
      <c r="B63" t="s">
        <v>206</v>
      </c>
      <c r="C63" t="s">
        <v>200</v>
      </c>
      <c r="D63" s="9">
        <f>D55*D57+D56*D59+D49*D58</f>
        <v>340157490.2843256</v>
      </c>
      <c r="E63" s="9"/>
      <c r="F63" s="9" t="s">
        <v>202</v>
      </c>
    </row>
    <row r="64" spans="2:10">
      <c r="D64" s="9"/>
      <c r="J64" t="s">
        <v>450</v>
      </c>
    </row>
    <row r="65" spans="2:18">
      <c r="D65" s="14"/>
      <c r="E65" s="14"/>
    </row>
    <row r="66" spans="2:18">
      <c r="B66" t="s">
        <v>118</v>
      </c>
      <c r="C66" t="s">
        <v>212</v>
      </c>
      <c r="D66" s="14">
        <f>D15/D17</f>
        <v>1.0573177518085699</v>
      </c>
      <c r="E66" s="14"/>
      <c r="J66" t="s">
        <v>49</v>
      </c>
      <c r="K66" s="31">
        <f>D72-1</f>
        <v>0.25</v>
      </c>
    </row>
    <row r="67" spans="2:18">
      <c r="B67" t="s">
        <v>417</v>
      </c>
      <c r="C67" t="s">
        <v>416</v>
      </c>
      <c r="D67" s="14">
        <f>SQRT(D17*D20)</f>
        <v>268.10445725500352</v>
      </c>
      <c r="E67" s="14"/>
      <c r="J67" t="s">
        <v>51</v>
      </c>
      <c r="K67" s="31">
        <f>48*(1-D10^2)*D73^4</f>
        <v>0.10956491202644357</v>
      </c>
    </row>
    <row r="68" spans="2:18">
      <c r="B68" s="14" t="s">
        <v>423</v>
      </c>
      <c r="C68" s="14" t="s">
        <v>421</v>
      </c>
      <c r="D68" s="26">
        <f>(D66^2*(1+8.55246*LOG(D66))-1)/((1.0472+1.9448*D66^2)*(D66-1))</f>
        <v>1.8920606408562417</v>
      </c>
      <c r="E68" s="26"/>
      <c r="F68" s="14"/>
      <c r="G68" s="14"/>
      <c r="J68" t="s">
        <v>239</v>
      </c>
      <c r="K68" s="73">
        <f>1/3+K66/12</f>
        <v>0.35416666666666663</v>
      </c>
      <c r="L68" s="32"/>
      <c r="M68" t="s">
        <v>261</v>
      </c>
      <c r="N68" s="73">
        <f>(K68*K77*K79+K72*K75*K70+K70*K81*K69-(K70^2*K77+K81*K75*K68+K79*K72*K69))/K83</f>
        <v>-4.5016984680215283E-2</v>
      </c>
      <c r="O68" s="32"/>
      <c r="P68" t="s">
        <v>278</v>
      </c>
      <c r="Q68" s="73">
        <f>K84*N83+K85+K86*N84</f>
        <v>-1.4559400546748416</v>
      </c>
      <c r="R68" s="33"/>
    </row>
    <row r="69" spans="2:18">
      <c r="B69" s="14" t="s">
        <v>423</v>
      </c>
      <c r="C69" s="14" t="s">
        <v>422</v>
      </c>
      <c r="D69" s="26">
        <f>(D66^2*(1+8.55246*LOG(D66))-1)/((1.36136*(D66^2-1)*(D66-1)))</f>
        <v>37.967070519106706</v>
      </c>
      <c r="E69" s="26"/>
      <c r="F69" s="14"/>
      <c r="G69" s="14"/>
      <c r="J69" t="s">
        <v>240</v>
      </c>
      <c r="K69" s="73">
        <f>5/42+17*K66/336</f>
        <v>0.13169642857142858</v>
      </c>
      <c r="L69" s="32"/>
      <c r="M69" t="s">
        <v>262</v>
      </c>
      <c r="N69" s="73">
        <f>(K68*K78*K79+K73*K75*K70+K70*K82*K69-(K70^2*K78+K82*K75*K68+K79*K73*K69))/K83</f>
        <v>3.0259273626020308E-2</v>
      </c>
      <c r="O69" s="32"/>
      <c r="P69" t="s">
        <v>279</v>
      </c>
      <c r="Q69" s="73">
        <f>K87*N83+N68+N69*N84</f>
        <v>-1.9089645182516785E-4</v>
      </c>
      <c r="R69" s="33"/>
    </row>
    <row r="70" spans="2:18">
      <c r="B70" s="14" t="s">
        <v>423</v>
      </c>
      <c r="C70" s="14" t="s">
        <v>424</v>
      </c>
      <c r="D70" s="27">
        <f>(1/(D66-1))*(0.66845+5.7169*(D66^2*LOG(D66)/(D66^2-1)))</f>
        <v>34.550108113274739</v>
      </c>
      <c r="E70" s="26"/>
      <c r="F70" s="14"/>
      <c r="G70" s="14"/>
      <c r="J70" t="s">
        <v>241</v>
      </c>
      <c r="K70" s="73">
        <f>1/210+K66/360</f>
        <v>5.4563492063492069E-3</v>
      </c>
      <c r="L70" s="32"/>
      <c r="M70" t="s">
        <v>263</v>
      </c>
      <c r="N70" s="73">
        <f>(K68*K74*K80+K69*K76*K70+K71*K75*K69-(K70*K74*K71+K75*K76*K68+K69^2*K80))/K83</f>
        <v>-2.4198751859705513E-2</v>
      </c>
      <c r="O70" s="32"/>
      <c r="P70" t="s">
        <v>280</v>
      </c>
      <c r="Q70" s="73">
        <f>N70*N83+N71+N72*N84</f>
        <v>-6.4267807839975266E-5</v>
      </c>
      <c r="R70" s="33"/>
    </row>
    <row r="71" spans="2:18">
      <c r="B71" s="14" t="s">
        <v>423</v>
      </c>
      <c r="C71" s="14" t="s">
        <v>430</v>
      </c>
      <c r="D71" s="27">
        <f>(D66^2+1)/(D66^2-1)</f>
        <v>17.960532155434336</v>
      </c>
      <c r="E71" s="14"/>
      <c r="F71" s="14"/>
      <c r="J71" t="s">
        <v>242</v>
      </c>
      <c r="K71" s="73">
        <f>11/360+59*K66/5040+(1+3*K66)/K67</f>
        <v>16.005748880748889</v>
      </c>
      <c r="L71" s="32"/>
      <c r="M71" t="s">
        <v>264</v>
      </c>
      <c r="N71" s="73">
        <f>(K68*K74*K81+K69*K77*K70+K72*K75*K69-(K70*K74*K72+K75*K77*K68+K69^2*K81))/K83</f>
        <v>2.5561290390552351E-2</v>
      </c>
      <c r="O71" s="32"/>
      <c r="P71" t="s">
        <v>281</v>
      </c>
      <c r="Q71" s="73">
        <f>(3+N84+3*N83)/12-(2*Q70+15*Q69+10*Q68)/10</f>
        <v>1.9893341735529044</v>
      </c>
      <c r="R71" s="33"/>
    </row>
    <row r="72" spans="2:18">
      <c r="B72" s="14" t="s">
        <v>118</v>
      </c>
      <c r="C72" s="14" t="s">
        <v>215</v>
      </c>
      <c r="D72" s="14">
        <f>D21/D20</f>
        <v>1.25</v>
      </c>
      <c r="E72" s="14"/>
      <c r="F72" s="14"/>
      <c r="J72" t="s">
        <v>243</v>
      </c>
      <c r="K72" s="73">
        <f>1/90+5*K66/1008-(1+K66)^3/K67</f>
        <v>-17.813839365206562</v>
      </c>
      <c r="L72" s="32"/>
      <c r="M72" t="s">
        <v>265</v>
      </c>
      <c r="N72" s="73">
        <f>(K68*K74*K82+K69*K78*K70+K73*K75*K69-(K70*K74*K73+K75*K78*K68+K69^2*K82))/K83</f>
        <v>-1.6237443145553407E-2</v>
      </c>
      <c r="O72" s="32"/>
      <c r="P72" t="s">
        <v>282</v>
      </c>
      <c r="Q72" s="73">
        <f>Q68*(3+K66)/6+Q69*(21+11*K66)/84+Q70*(3+2*K66)/210</f>
        <v>-0.78868924111151328</v>
      </c>
      <c r="R72" s="33"/>
    </row>
    <row r="73" spans="2:18">
      <c r="B73" s="14" t="s">
        <v>118</v>
      </c>
      <c r="C73" s="14" t="s">
        <v>418</v>
      </c>
      <c r="D73" s="14">
        <f>D19/D67</f>
        <v>0.22379336999582927</v>
      </c>
      <c r="E73" s="14"/>
      <c r="F73" s="14"/>
      <c r="J73" t="s">
        <v>244</v>
      </c>
      <c r="K73" s="73">
        <f>1/120+17*K66/5040+1/K67</f>
        <v>9.136186151811156</v>
      </c>
      <c r="L73" s="32"/>
      <c r="M73" t="s">
        <v>266</v>
      </c>
      <c r="N73" s="73">
        <f>-((K67/4)^0.25)</f>
        <v>-0.40682054357711211</v>
      </c>
      <c r="O73" s="32"/>
      <c r="P73" t="s">
        <v>283</v>
      </c>
      <c r="Q73" s="73">
        <f>Q72-N83*(7/120+K66/36+3*K66/K67)-1/40-K66/72-N84*(1/60+K66/120+1/K67)</f>
        <v>-7.1548390909610795</v>
      </c>
      <c r="R73" s="33"/>
    </row>
    <row r="74" spans="2:18">
      <c r="B74" s="14"/>
      <c r="C74" s="14"/>
      <c r="D74" s="41"/>
      <c r="E74" s="42"/>
      <c r="F74" s="14"/>
      <c r="J74" t="s">
        <v>245</v>
      </c>
      <c r="K74" s="73">
        <f>215/2772+51*K66/1232+(120+225*K66+150*K66^2+35*K66^3)/(14*K67)</f>
        <v>121.45880205122678</v>
      </c>
      <c r="L74" s="32"/>
      <c r="M74" t="s">
        <v>267</v>
      </c>
      <c r="N74" s="73">
        <f>K87-K84-5/12+K84*N73</f>
        <v>-63.93022955150883</v>
      </c>
      <c r="O74" s="32"/>
      <c r="Q74" s="26"/>
    </row>
    <row r="75" spans="2:18">
      <c r="B75" s="14"/>
      <c r="C75" s="14"/>
      <c r="D75" s="9"/>
      <c r="E75" s="9"/>
      <c r="F75" s="14"/>
      <c r="J75" t="s">
        <v>246</v>
      </c>
      <c r="K75" s="73">
        <f>31/6930+128*K66/45045+(66+165*K66+132*K66^2+35*K66^3)/(77*K67)</f>
        <v>13.760520563059632</v>
      </c>
      <c r="L75" s="32"/>
      <c r="M75" t="s">
        <v>268</v>
      </c>
      <c r="N75" s="73">
        <f>N69-K86-1/12+K86*N73</f>
        <v>-36.328347777115837</v>
      </c>
      <c r="O75" s="32"/>
      <c r="Q75" s="26"/>
    </row>
    <row r="76" spans="2:18">
      <c r="B76" s="14"/>
      <c r="C76" s="14"/>
      <c r="D76" s="9"/>
      <c r="E76" s="9"/>
      <c r="F76" s="14"/>
      <c r="J76" t="s">
        <v>247</v>
      </c>
      <c r="K76" s="73">
        <f>533/30240+653*K66/73920+(42+198*K66+117*K66^2+25*K66^3)/(84*K67)</f>
        <v>10.798737352659884</v>
      </c>
      <c r="L76" s="32"/>
      <c r="M76" t="s">
        <v>269</v>
      </c>
      <c r="N76" s="73">
        <f>-SQRT(K67/4)</f>
        <v>-0.16550295467637699</v>
      </c>
      <c r="O76" s="32"/>
      <c r="Q76" s="26"/>
    </row>
    <row r="77" spans="2:18">
      <c r="J77" t="s">
        <v>248</v>
      </c>
      <c r="K77" s="73">
        <f>29/3780+3*K66/704-(42+198*K66+243*K66^2+91*K66^3)/(84*K67)</f>
        <v>-11.737873411396947</v>
      </c>
      <c r="L77" s="32"/>
      <c r="M77" t="s">
        <v>270</v>
      </c>
      <c r="N77" s="73">
        <f>-((K67/4)^0.75)</f>
        <v>-6.7330001985061838E-2</v>
      </c>
      <c r="O77" s="32"/>
    </row>
    <row r="78" spans="2:18">
      <c r="B78" s="71" t="s">
        <v>432</v>
      </c>
      <c r="C78" s="14"/>
      <c r="D78" s="14"/>
      <c r="E78" s="14"/>
      <c r="F78" s="14"/>
      <c r="J78" t="s">
        <v>251</v>
      </c>
      <c r="K78" s="73">
        <f>31/6048+1763*K66/665280+(42+72*K66+45*K66^2+10*K66^3)/(84*K67)</f>
        <v>6.8476498728963415</v>
      </c>
      <c r="L78" s="32"/>
      <c r="M78" t="s">
        <v>271</v>
      </c>
      <c r="N78" s="73">
        <f>3*K66/2-K84*N77</f>
        <v>3.4167816781639426</v>
      </c>
      <c r="O78" s="32"/>
    </row>
    <row r="79" spans="2:18">
      <c r="B79" s="14" t="s">
        <v>419</v>
      </c>
      <c r="C79" s="14" t="s">
        <v>294</v>
      </c>
      <c r="D79" s="35">
        <f>-Q73/K90</f>
        <v>0.89673498722618383</v>
      </c>
      <c r="E79" s="32"/>
      <c r="F79" s="14"/>
      <c r="J79" t="s">
        <v>252</v>
      </c>
      <c r="K79" s="73">
        <f>1/2925+71*K66/300300+(88+198*K66+156*K66^2+42*K66^3)/(385*K67)</f>
        <v>3.5067432175133089</v>
      </c>
      <c r="L79" s="32"/>
      <c r="M79" t="s">
        <v>272</v>
      </c>
      <c r="N79" s="73">
        <f>0.5-K86*N77</f>
        <v>2.2361235322818565</v>
      </c>
      <c r="O79" s="32"/>
    </row>
    <row r="80" spans="2:18">
      <c r="B80" s="14" t="s">
        <v>420</v>
      </c>
      <c r="C80" s="14" t="s">
        <v>295</v>
      </c>
      <c r="D80" s="35">
        <f>Q71/(     (3*(1-$D$10^2)/$K$67)^0.25 *(1+$K$66)^3   )</f>
        <v>0.45588459391720687</v>
      </c>
      <c r="E80" s="32"/>
      <c r="J80" t="s">
        <v>253</v>
      </c>
      <c r="K80" s="73">
        <f>761/831600+937*K66/1663200+(2+12*K66+11*K66^2+3*K66^3)/(70*K67)</f>
        <v>0.74873731024679724</v>
      </c>
      <c r="L80" s="32"/>
      <c r="M80" t="s">
        <v>273</v>
      </c>
      <c r="N80" s="73">
        <f>(N73*N79)/2+N75*N78*N76-((N77*N75)/2+N79*N74*N76)</f>
        <v>-4.7942414352304432</v>
      </c>
      <c r="O80" s="32"/>
    </row>
    <row r="81" spans="2:19">
      <c r="B81" s="14" t="s">
        <v>425</v>
      </c>
      <c r="C81" s="14" t="s">
        <v>159</v>
      </c>
      <c r="D81" s="35">
        <f>MAX(N83/(1+K66),1)</f>
        <v>1</v>
      </c>
      <c r="E81" s="32"/>
      <c r="J81" t="s">
        <v>254</v>
      </c>
      <c r="K81" s="73">
        <f>197/415800+103*K66/332640-(2+12*K66+17*K66^2+7*K66^3)/(70*K67)</f>
        <v>-0.80417397716783912</v>
      </c>
      <c r="L81" s="32"/>
      <c r="M81" t="s">
        <v>274</v>
      </c>
      <c r="N81" s="73">
        <f>1/12+K85-N68-K85*N73</f>
        <v>-70.608772357056267</v>
      </c>
      <c r="O81" s="32"/>
    </row>
    <row r="82" spans="2:19">
      <c r="B82" s="14" t="s">
        <v>118</v>
      </c>
      <c r="C82" s="14" t="s">
        <v>194</v>
      </c>
      <c r="D82" s="26">
        <f>D79/D67</f>
        <v>3.3447224130752433E-3</v>
      </c>
      <c r="J82" t="s">
        <v>255</v>
      </c>
      <c r="K82" s="73">
        <f>233/831600+97*K66/554400+(6+18*K66+15*K66^2+4*K66^3)/(210*K67)</f>
        <v>0.5001363522940907</v>
      </c>
      <c r="L82" s="32"/>
      <c r="M82" t="s">
        <v>275</v>
      </c>
      <c r="N82" s="73">
        <f>K85*N77</f>
        <v>3.3854571088504684</v>
      </c>
      <c r="O82" s="32"/>
    </row>
    <row r="83" spans="2:19">
      <c r="B83" s="14" t="s">
        <v>118</v>
      </c>
      <c r="C83" s="14" t="s">
        <v>433</v>
      </c>
      <c r="D83" s="72">
        <f>(D69/D80)*D67*D20^2</f>
        <v>8931331.2806847598</v>
      </c>
      <c r="J83" t="s">
        <v>256</v>
      </c>
      <c r="K83" s="73">
        <f>K68*K74*K79+K69*K75*K70+K70*K75*K69-(K70^2*K74+K75^2*K68+K69^2*K79)</f>
        <v>83.741576180170384</v>
      </c>
      <c r="L83" s="32"/>
      <c r="M83" t="s">
        <v>276</v>
      </c>
      <c r="N83" s="73">
        <f>(N75*N82*N76-N79*N81*N76)/N80</f>
        <v>1.2048544873913127</v>
      </c>
      <c r="O83" s="32"/>
    </row>
    <row r="84" spans="2:19">
      <c r="B84" s="14" t="s">
        <v>435</v>
      </c>
      <c r="C84" s="14" t="s">
        <v>434</v>
      </c>
      <c r="D84" s="35">
        <f>(D16*D82+1)/D68+D16^3/D83</f>
        <v>1.5644840557922208</v>
      </c>
      <c r="E84" s="32">
        <f>($D$16*D79+$D$67)/($D$68*$D$67)+($D$16^3*D80)/($D$69*$D$67*$D$20^2)</f>
        <v>1.5644840557922208</v>
      </c>
      <c r="F84" s="35"/>
      <c r="J84" t="s">
        <v>257</v>
      </c>
      <c r="K84" s="73">
        <f>(K71*K74*K79+K69*K75*K80+K70*K75*K76-(K80*K74*K70+K75^2*K71+K79*K69*K76))/K83</f>
        <v>45.177210581975139</v>
      </c>
      <c r="L84" s="32"/>
      <c r="M84" t="s">
        <v>277</v>
      </c>
      <c r="N84" s="73">
        <f>((N73*N82)/2+N81*N78*N76-(N77*N81)/2-N82*N74*N76)/N80</f>
        <v>-0.2174244145088528</v>
      </c>
      <c r="O84" s="32"/>
    </row>
    <row r="85" spans="2:19">
      <c r="B85" s="13" t="s">
        <v>431</v>
      </c>
      <c r="D85" s="36"/>
      <c r="E85" s="32"/>
      <c r="J85" t="s">
        <v>258</v>
      </c>
      <c r="K85" s="73">
        <f>(K72*K74*K79+K69*K75*K81+K70*K75*K77-(K81*K74*K70+K75^2*K72+K79*K69*K77))/K83</f>
        <v>-50.281553676495989</v>
      </c>
      <c r="L85" s="32"/>
      <c r="N85" s="26"/>
    </row>
    <row r="86" spans="2:19">
      <c r="B86" s="14" t="s">
        <v>428</v>
      </c>
      <c r="C86" s="14" t="s">
        <v>426</v>
      </c>
      <c r="D86" s="35">
        <f>-(K85*(3+K66)/6+N68*(21+11*K66)/84+N71*(3+2*K66)/210-(9+5*K66)/360)/K90</f>
        <v>3.4186507065827936</v>
      </c>
      <c r="E86" s="32"/>
      <c r="F86" s="37"/>
      <c r="G86" s="32"/>
      <c r="J86" t="s">
        <v>259</v>
      </c>
      <c r="K86" s="73">
        <f>(K73*K74*K79+K69*K75*K82+K70*K75*K78-(K82*K74*K70+K75^2*K73+K79*K69*K78))/K83</f>
        <v>25.785288594927433</v>
      </c>
      <c r="L86" s="32"/>
      <c r="N86" s="26"/>
    </row>
    <row r="87" spans="2:19">
      <c r="B87" s="14" t="s">
        <v>429</v>
      </c>
      <c r="C87" s="14" t="s">
        <v>427</v>
      </c>
      <c r="D87" s="35">
        <f>(0.25-N71/5-1.5*N68-K85)/K91</f>
        <v>11.594336617459238</v>
      </c>
      <c r="E87" s="32"/>
      <c r="F87" s="37"/>
      <c r="G87" s="32"/>
      <c r="J87" t="s">
        <v>260</v>
      </c>
      <c r="K87" s="73">
        <f>(K68*K76*K79+K71*K75*K70+K70*K80*K69-(K70^2*K76+K80*K75*K68+K79*K71*K69))/K83</f>
        <v>4.2665063389762989E-2</v>
      </c>
      <c r="L87" s="32"/>
      <c r="N87" s="26"/>
    </row>
    <row r="88" spans="2:19">
      <c r="B88" s="14" t="s">
        <v>118</v>
      </c>
      <c r="C88" s="14" t="s">
        <v>194</v>
      </c>
      <c r="D88" s="26">
        <f>D86/D67</f>
        <v>1.2751189374413106E-2</v>
      </c>
      <c r="K88" s="26"/>
    </row>
    <row r="89" spans="2:19">
      <c r="B89" s="14" t="s">
        <v>118</v>
      </c>
      <c r="C89" s="14" t="s">
        <v>433</v>
      </c>
      <c r="D89" s="72">
        <f>(D69/D87)*D67*D20^2</f>
        <v>351176.30860430159</v>
      </c>
      <c r="K89" s="26"/>
    </row>
    <row r="90" spans="2:19">
      <c r="B90" s="14" t="s">
        <v>435</v>
      </c>
      <c r="C90" s="14" t="s">
        <v>434</v>
      </c>
      <c r="D90" s="35">
        <f>(D16*D88+1)/D68+D16^3/D89</f>
        <v>19.805058488084224</v>
      </c>
      <c r="E90" s="26"/>
      <c r="F90" s="37"/>
      <c r="G90" s="32"/>
      <c r="J90" s="14" t="s">
        <v>290</v>
      </c>
      <c r="K90" s="32">
        <f>(   ($K$67/(3*(1-$D$10^2)))^0.25 *  (1+$K$66)^3/$K$67   )</f>
        <v>7.9787665172881352</v>
      </c>
    </row>
    <row r="91" spans="2:19">
      <c r="D91" s="26"/>
      <c r="E91" s="26"/>
      <c r="F91" s="37"/>
      <c r="G91" s="32"/>
      <c r="J91" s="14" t="s">
        <v>293</v>
      </c>
      <c r="K91" s="32">
        <f xml:space="preserve">     (3*(1-$D$10^2)/$K$67)^0.25 *(1+$K$66)^3</f>
        <v>4.3636793173014903</v>
      </c>
    </row>
    <row r="92" spans="2:19">
      <c r="D92" s="26"/>
      <c r="E92" s="26"/>
      <c r="F92" s="37"/>
      <c r="G92" s="32"/>
    </row>
    <row r="93" spans="2:19">
      <c r="D93" s="26"/>
      <c r="E93" s="26"/>
      <c r="F93" s="37"/>
      <c r="G93" s="32"/>
    </row>
    <row r="94" spans="2:19">
      <c r="B94" s="44" t="s">
        <v>338</v>
      </c>
      <c r="D94" s="26"/>
      <c r="E94" s="26"/>
      <c r="F94" s="37"/>
      <c r="G94" s="32"/>
      <c r="Q94" s="26"/>
      <c r="R94" s="26"/>
      <c r="S94" s="26"/>
    </row>
    <row r="95" spans="2:19">
      <c r="B95" s="13" t="s">
        <v>298</v>
      </c>
      <c r="D95" s="39" t="s">
        <v>317</v>
      </c>
      <c r="E95" s="39" t="s">
        <v>316</v>
      </c>
      <c r="Q95" s="26"/>
      <c r="R95" s="26"/>
      <c r="S95" s="26"/>
    </row>
    <row r="96" spans="2:19">
      <c r="B96" t="s">
        <v>304</v>
      </c>
      <c r="C96" t="s">
        <v>305</v>
      </c>
      <c r="D96" s="14">
        <f>($D$81*D62)/($D$84*$D$21^2*$D$17)</f>
        <v>68.530140853498608</v>
      </c>
      <c r="E96" s="14">
        <f>($D$81*D63)/($D$84*$D$21^2*$D$17)</f>
        <v>96.794528133604118</v>
      </c>
      <c r="F96" t="s">
        <v>87</v>
      </c>
      <c r="G96" s="34"/>
      <c r="Q96" s="26"/>
      <c r="R96" s="26"/>
      <c r="S96" s="26"/>
    </row>
    <row r="97" spans="2:19">
      <c r="B97" t="s">
        <v>303</v>
      </c>
      <c r="C97" t="s">
        <v>306</v>
      </c>
      <c r="D97" s="14">
        <f>((1.3333*$D$16*$D$82+1)*D62)/($D$84*$D$16^2*$D$17)</f>
        <v>2.2839345183714839</v>
      </c>
      <c r="E97" s="14">
        <f>((1.3333*$D$16*$D$82+1)*D63)/($D$84*$D$16^2*$D$17)</f>
        <v>3.2259143384283875</v>
      </c>
      <c r="F97" t="s">
        <v>87</v>
      </c>
      <c r="G97" s="34"/>
      <c r="Q97" s="26"/>
      <c r="R97" s="26"/>
      <c r="S97" s="26"/>
    </row>
    <row r="98" spans="2:19" ht="13.5">
      <c r="B98" t="s">
        <v>302</v>
      </c>
      <c r="C98" t="s">
        <v>310</v>
      </c>
      <c r="D98" s="14">
        <f>($D$70*D62)/($D$16^2*$D$17)-(D97*$D$71)</f>
        <v>26.624793529022817</v>
      </c>
      <c r="E98" s="14">
        <f>($D$70*D63)/($D$16^2*$D$17)-(E97*$D$71)</f>
        <v>37.605851880644892</v>
      </c>
      <c r="F98" t="s">
        <v>87</v>
      </c>
      <c r="G98" s="34"/>
      <c r="Q98" s="26"/>
      <c r="R98" s="26"/>
      <c r="S98" s="26"/>
    </row>
    <row r="99" spans="2:19">
      <c r="B99" t="s">
        <v>448</v>
      </c>
      <c r="C99" t="s">
        <v>447</v>
      </c>
      <c r="D99" s="14">
        <f>(52.14*D62*$D$80)/($D$84*$D$13*$D$20^2*$D$67*0.3)</f>
        <v>0.56865698938448084</v>
      </c>
      <c r="E99" s="14">
        <f>(52.14*D63*$D$80)/($D$84*$D$14*$D$20^2*$D$67*0.3)</f>
        <v>0.8031923511585296</v>
      </c>
      <c r="F99" s="12" t="s">
        <v>116</v>
      </c>
      <c r="G99" s="34"/>
      <c r="Q99" s="26"/>
      <c r="R99" s="26"/>
      <c r="S99" s="26"/>
    </row>
    <row r="100" spans="2:19">
      <c r="B100" s="13" t="s">
        <v>299</v>
      </c>
      <c r="E100" s="14"/>
      <c r="G100" s="34"/>
    </row>
    <row r="101" spans="2:19">
      <c r="B101" t="s">
        <v>304</v>
      </c>
      <c r="C101" t="s">
        <v>305</v>
      </c>
      <c r="D101" s="14">
        <v>0</v>
      </c>
      <c r="E101" s="14">
        <v>0</v>
      </c>
      <c r="F101" t="s">
        <v>87</v>
      </c>
      <c r="G101" s="34"/>
    </row>
    <row r="102" spans="2:19">
      <c r="B102" t="s">
        <v>303</v>
      </c>
      <c r="C102" t="s">
        <v>306</v>
      </c>
      <c r="D102" s="14">
        <v>0</v>
      </c>
      <c r="E102" s="14">
        <v>0</v>
      </c>
      <c r="F102" t="s">
        <v>87</v>
      </c>
      <c r="G102" s="34"/>
    </row>
    <row r="103" spans="2:19" ht="13.5">
      <c r="B103" t="s">
        <v>302</v>
      </c>
      <c r="C103" t="s">
        <v>310</v>
      </c>
      <c r="D103" s="14">
        <f>($D$70*D62)/($D$16^2*$D$17)</f>
        <v>67.645472887140286</v>
      </c>
      <c r="E103" s="14">
        <f>($D$70*D63)/($D$16^2*$D$17)</f>
        <v>95.544990086664626</v>
      </c>
      <c r="F103" t="s">
        <v>87</v>
      </c>
      <c r="G103" s="34"/>
    </row>
    <row r="104" spans="2:19">
      <c r="B104" t="s">
        <v>448</v>
      </c>
      <c r="C104" t="s">
        <v>447</v>
      </c>
      <c r="D104" s="14">
        <f>(109.4*D62)/($D$13*$D$16^3*0.2*LN($D$66 ))</f>
        <v>1.8664777920480005</v>
      </c>
      <c r="E104" s="14">
        <f>(109.4*D63)/($D$14*$D$16^3*0.2*LN($D$66 ))</f>
        <v>2.6362828808327801</v>
      </c>
      <c r="F104" s="12" t="s">
        <v>116</v>
      </c>
      <c r="G104" s="34"/>
    </row>
    <row r="106" spans="2:19">
      <c r="B106" t="s">
        <v>441</v>
      </c>
      <c r="C106" t="s">
        <v>305</v>
      </c>
      <c r="D106" s="14">
        <f t="shared" ref="D106:E108" si="0">IF($E$8=1,D96,D101)</f>
        <v>68.530140853498608</v>
      </c>
      <c r="E106" s="14">
        <f t="shared" si="0"/>
        <v>96.794528133604118</v>
      </c>
      <c r="F106" t="s">
        <v>87</v>
      </c>
    </row>
    <row r="107" spans="2:19">
      <c r="B107" t="s">
        <v>442</v>
      </c>
      <c r="C107" t="s">
        <v>306</v>
      </c>
      <c r="D107" s="14">
        <f t="shared" si="0"/>
        <v>2.2839345183714839</v>
      </c>
      <c r="E107" s="14">
        <f t="shared" si="0"/>
        <v>3.2259143384283875</v>
      </c>
      <c r="F107" t="s">
        <v>87</v>
      </c>
    </row>
    <row r="108" spans="2:19" ht="13.5">
      <c r="B108" t="s">
        <v>443</v>
      </c>
      <c r="C108" t="s">
        <v>310</v>
      </c>
      <c r="D108" s="14">
        <f t="shared" si="0"/>
        <v>26.624793529022817</v>
      </c>
      <c r="E108" s="14">
        <f t="shared" si="0"/>
        <v>37.605851880644892</v>
      </c>
      <c r="F108" t="s">
        <v>87</v>
      </c>
    </row>
    <row r="109" spans="2:19">
      <c r="B109" t="s">
        <v>145</v>
      </c>
      <c r="C109" t="s">
        <v>445</v>
      </c>
      <c r="D109" s="14">
        <f>$D$50/$D$53</f>
        <v>100.54991437979957</v>
      </c>
      <c r="E109" s="14">
        <f>$D$51/$D$53</f>
        <v>153.65972091672069</v>
      </c>
      <c r="F109" t="s">
        <v>87</v>
      </c>
    </row>
    <row r="110" spans="2:19">
      <c r="B110" t="s">
        <v>448</v>
      </c>
      <c r="C110" t="s">
        <v>447</v>
      </c>
      <c r="D110" s="14">
        <f>IF($E$8=1,D99,D104)</f>
        <v>0.56865698938448084</v>
      </c>
      <c r="E110" s="14">
        <f>IF($E$8=1,E99,E104)</f>
        <v>0.8031923511585296</v>
      </c>
    </row>
    <row r="111" spans="2:19">
      <c r="H111" t="s">
        <v>444</v>
      </c>
      <c r="I111" t="s">
        <v>316</v>
      </c>
    </row>
    <row r="112" spans="2:19">
      <c r="B112" s="13" t="s">
        <v>337</v>
      </c>
      <c r="F112" s="40"/>
      <c r="G112" s="34"/>
      <c r="H112" t="s">
        <v>334</v>
      </c>
      <c r="I112" t="s">
        <v>334</v>
      </c>
    </row>
    <row r="113" spans="2:9">
      <c r="B113" t="s">
        <v>436</v>
      </c>
      <c r="D113" s="40" t="str">
        <f>IF(D106&lt;=1.5*$D$11,"OK","failed")</f>
        <v>OK</v>
      </c>
      <c r="E113" s="40" t="str">
        <f>IF(E106&lt;=1.5*$D$12,"OK","failed")</f>
        <v>OK</v>
      </c>
      <c r="F113" s="40"/>
      <c r="G113" s="34"/>
      <c r="H113" s="29">
        <f>(D106)/(1.5*$D$12)</f>
        <v>0.58125649578879235</v>
      </c>
      <c r="I113" s="29">
        <f>(E106)/(1.5*$D$12)</f>
        <v>0.82098836415270671</v>
      </c>
    </row>
    <row r="114" spans="2:9">
      <c r="B114" t="s">
        <v>437</v>
      </c>
      <c r="D114" s="40" t="str">
        <f>IF(D107&lt;=$D$11,"OK","failed")</f>
        <v>OK</v>
      </c>
      <c r="E114" s="40" t="str">
        <f>IF(E107&lt;=$D$12,"OK","failed")</f>
        <v>OK</v>
      </c>
      <c r="F114" s="40"/>
      <c r="G114" s="34"/>
      <c r="H114" s="29">
        <f>(D107)/($D$12)</f>
        <v>2.9057691073428552E-2</v>
      </c>
      <c r="I114" s="29">
        <f>(E107)/($D$12)</f>
        <v>4.1042167155577451E-2</v>
      </c>
    </row>
    <row r="115" spans="2:9" ht="13.5">
      <c r="B115" t="s">
        <v>438</v>
      </c>
      <c r="D115" s="40" t="str">
        <f>IF(D108&lt;=$D$11,"OK","failed")</f>
        <v>OK</v>
      </c>
      <c r="E115" s="40" t="str">
        <f>IF(E108&lt;=$D$12,"OK","failed")</f>
        <v>OK</v>
      </c>
      <c r="F115" s="40"/>
      <c r="G115" s="34"/>
      <c r="H115" s="29">
        <f>(D108)/($D$12)</f>
        <v>0.33873783115805112</v>
      </c>
      <c r="I115" s="29">
        <f>(E108)/($D$12)</f>
        <v>0.47844595267996048</v>
      </c>
    </row>
    <row r="116" spans="2:9">
      <c r="B116" s="12" t="s">
        <v>439</v>
      </c>
      <c r="D116" s="40" t="str">
        <f>IF(0.5*(D106+D107) &lt;=$D$11,"OK","failed")</f>
        <v>OK</v>
      </c>
      <c r="E116" s="40" t="str">
        <f>IF(0.5*(E106+E107) &lt;=$D$12,"OK","failed")</f>
        <v>OK</v>
      </c>
      <c r="F116" s="40"/>
      <c r="G116" s="34"/>
      <c r="H116" s="29">
        <f>0.5*(D106+D107)/$D$12</f>
        <v>0.45047121737830847</v>
      </c>
      <c r="I116" s="29">
        <f>0.5*(E106+E107)/$D$12</f>
        <v>0.63626235669231879</v>
      </c>
    </row>
    <row r="117" spans="2:9" ht="13.5">
      <c r="B117" s="12" t="s">
        <v>440</v>
      </c>
      <c r="D117" s="40" t="str">
        <f>IF(0.5*(D106+D108) &lt;=$D$11,"OK","failed")</f>
        <v>OK</v>
      </c>
      <c r="E117" s="40" t="str">
        <f>IF(0.5*(E106+E108) &lt;=$D$12,"OK","failed")</f>
        <v>OK</v>
      </c>
      <c r="G117" s="34"/>
      <c r="H117" s="29">
        <f>0.5*(D106+D108)/$D$12</f>
        <v>0.60531128742061979</v>
      </c>
      <c r="I117" s="29">
        <f>0.5*(E106+E108)/$D$12</f>
        <v>0.85496424945451033</v>
      </c>
    </row>
    <row r="118" spans="2:9">
      <c r="B118" t="s">
        <v>446</v>
      </c>
      <c r="D118" s="40" t="str">
        <f>IF(D109&lt;=1.5*$D$32,"OK","failed")</f>
        <v>OK</v>
      </c>
      <c r="E118" s="40" t="str">
        <f>IF(E109&lt;=1.5*$D$33,"OK","failed")</f>
        <v>OK</v>
      </c>
      <c r="G118" s="34"/>
      <c r="H118" s="29">
        <f>(D109)/($D$32)</f>
        <v>0.5832361622958212</v>
      </c>
      <c r="I118" s="29">
        <f>(E109)/($D$33)</f>
        <v>0.89129768513179053</v>
      </c>
    </row>
    <row r="119" spans="2:9">
      <c r="B119" t="s">
        <v>451</v>
      </c>
      <c r="D119" s="40" t="str">
        <f>IF(D110&lt;=1,"OK","failed")</f>
        <v>OK</v>
      </c>
      <c r="E119" s="40" t="str">
        <f>IF(E110&lt;=1,"OK","failed")</f>
        <v>OK</v>
      </c>
      <c r="G119" s="34"/>
      <c r="H119" s="29">
        <f>D110/1</f>
        <v>0.56865698938448084</v>
      </c>
      <c r="I119" s="29">
        <f>E110/1</f>
        <v>0.8031923511585296</v>
      </c>
    </row>
    <row r="120" spans="2:9">
      <c r="B120" s="44"/>
      <c r="F120" s="40"/>
      <c r="G120" s="34"/>
    </row>
    <row r="121" spans="2:9">
      <c r="B121" s="13"/>
      <c r="D121" s="39"/>
      <c r="E121" s="39"/>
    </row>
    <row r="122" spans="2:9">
      <c r="D122" s="14"/>
      <c r="E122" s="14"/>
      <c r="G122" s="34"/>
    </row>
    <row r="123" spans="2:9">
      <c r="D123" s="14"/>
      <c r="E123" s="14"/>
      <c r="G123" s="34"/>
    </row>
    <row r="124" spans="2:9">
      <c r="D124" s="14"/>
      <c r="E124" s="14"/>
      <c r="G124" s="34"/>
    </row>
    <row r="125" spans="2:9">
      <c r="B125" s="13"/>
      <c r="E125" s="14"/>
      <c r="G125" s="34"/>
    </row>
    <row r="126" spans="2:9">
      <c r="D126" s="14"/>
      <c r="E126" s="14"/>
      <c r="G126" s="34"/>
    </row>
    <row r="127" spans="2:9">
      <c r="D127" s="14"/>
      <c r="E127" s="14"/>
      <c r="G127" s="34"/>
    </row>
    <row r="128" spans="2:9">
      <c r="D128" s="14"/>
      <c r="E128" s="14"/>
      <c r="G128" s="34"/>
    </row>
    <row r="129" spans="2:7">
      <c r="B129" s="13"/>
      <c r="D129" s="14"/>
      <c r="E129" s="14"/>
      <c r="G129" s="34"/>
    </row>
    <row r="130" spans="2:7">
      <c r="D130" s="14"/>
      <c r="E130" s="14"/>
      <c r="G130" s="34"/>
    </row>
    <row r="131" spans="2:7">
      <c r="D131" s="14"/>
      <c r="E131" s="14"/>
      <c r="G131" s="34"/>
    </row>
    <row r="132" spans="2:7">
      <c r="D132" s="14"/>
      <c r="E132" s="14"/>
      <c r="G132" s="34"/>
    </row>
    <row r="134" spans="2:7">
      <c r="D134" s="14"/>
      <c r="E134" s="25"/>
    </row>
    <row r="135" spans="2:7">
      <c r="D135" s="14"/>
      <c r="E135" s="25"/>
    </row>
    <row r="136" spans="2:7">
      <c r="D136" s="14"/>
      <c r="E136" s="25"/>
    </row>
    <row r="139" spans="2:7">
      <c r="D139" s="14"/>
      <c r="G139" s="34"/>
    </row>
    <row r="141" spans="2:7">
      <c r="B141" s="13"/>
      <c r="F141" s="40"/>
      <c r="G141" s="34"/>
    </row>
    <row r="142" spans="2:7">
      <c r="B142" s="12"/>
      <c r="D142" s="40"/>
      <c r="E142" s="40"/>
      <c r="F142" s="40"/>
      <c r="G142" s="34"/>
    </row>
    <row r="143" spans="2:7">
      <c r="B143" s="12"/>
      <c r="D143" s="40"/>
      <c r="E143" s="40"/>
      <c r="F143" s="40"/>
      <c r="G143" s="34"/>
    </row>
    <row r="144" spans="2:7">
      <c r="B144" s="12"/>
      <c r="D144" s="40"/>
      <c r="E144" s="40"/>
      <c r="F144" s="40"/>
      <c r="G144" s="34"/>
    </row>
    <row r="145" spans="2:7">
      <c r="B145" s="12"/>
      <c r="D145" s="40"/>
      <c r="E145" s="40"/>
      <c r="F145" s="40"/>
      <c r="G145" s="34"/>
    </row>
    <row r="146" spans="2:7">
      <c r="B146" s="12"/>
      <c r="D146" s="40"/>
      <c r="E146" s="40"/>
      <c r="G146" s="34"/>
    </row>
  </sheetData>
  <phoneticPr fontId="7" type="noConversion"/>
  <pageMargins left="0.75" right="0.75" top="1" bottom="1" header="0.5" footer="0.5"/>
  <pageSetup paperSize="9" scale="95" orientation="portrait" horizontalDpi="1200" verticalDpi="1200" r:id="rId1"/>
  <headerFooter alignWithMargins="0"/>
  <rowBreaks count="2" manualBreakCount="2">
    <brk id="37" max="16383" man="1"/>
    <brk id="91" max="6" man="1"/>
  </rowBreaks>
  <colBreaks count="1" manualBreakCount="1">
    <brk id="7"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8196" r:id="rId4" name="Drop Down 4">
              <controlPr defaultSize="0" autoLine="0" autoPict="0">
                <anchor moveWithCells="1">
                  <from>
                    <xdr:col>1</xdr:col>
                    <xdr:colOff>657225</xdr:colOff>
                    <xdr:row>25</xdr:row>
                    <xdr:rowOff>28575</xdr:rowOff>
                  </from>
                  <to>
                    <xdr:col>4</xdr:col>
                    <xdr:colOff>219075</xdr:colOff>
                    <xdr:row>26</xdr:row>
                    <xdr:rowOff>66675</xdr:rowOff>
                  </to>
                </anchor>
              </controlPr>
            </control>
          </mc:Choice>
        </mc:AlternateContent>
        <mc:AlternateContent xmlns:mc="http://schemas.openxmlformats.org/markup-compatibility/2006">
          <mc:Choice Requires="x14">
            <control shapeId="8204" r:id="rId5" name="Drop Down 12">
              <controlPr defaultSize="0" autoLine="0" autoPict="0">
                <anchor moveWithCells="1">
                  <from>
                    <xdr:col>2</xdr:col>
                    <xdr:colOff>561975</xdr:colOff>
                    <xdr:row>7</xdr:row>
                    <xdr:rowOff>0</xdr:rowOff>
                  </from>
                  <to>
                    <xdr:col>3</xdr:col>
                    <xdr:colOff>847725</xdr:colOff>
                    <xdr:row>8</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1:F10"/>
  <sheetViews>
    <sheetView showGridLines="0" workbookViewId="0"/>
  </sheetViews>
  <sheetFormatPr defaultRowHeight="12.75"/>
  <cols>
    <col min="1" max="1" width="1.140625" customWidth="1"/>
    <col min="2" max="2" width="64.42578125" customWidth="1"/>
    <col min="3" max="3" width="1.5703125" customWidth="1"/>
    <col min="4" max="4" width="5.5703125" customWidth="1"/>
    <col min="5" max="6" width="16" customWidth="1"/>
  </cols>
  <sheetData>
    <row r="1" spans="2:6">
      <c r="B1" s="978" t="s">
        <v>1486</v>
      </c>
      <c r="C1" s="978"/>
      <c r="D1" s="982"/>
      <c r="E1" s="982"/>
      <c r="F1" s="982"/>
    </row>
    <row r="2" spans="2:6">
      <c r="B2" s="978" t="s">
        <v>1487</v>
      </c>
      <c r="C2" s="978"/>
      <c r="D2" s="982"/>
      <c r="E2" s="982"/>
      <c r="F2" s="982"/>
    </row>
    <row r="3" spans="2:6">
      <c r="B3" s="979"/>
      <c r="C3" s="979"/>
      <c r="D3" s="983"/>
      <c r="E3" s="983"/>
      <c r="F3" s="983"/>
    </row>
    <row r="4" spans="2:6" ht="51">
      <c r="B4" s="979" t="s">
        <v>1488</v>
      </c>
      <c r="C4" s="979"/>
      <c r="D4" s="983"/>
      <c r="E4" s="983"/>
      <c r="F4" s="983"/>
    </row>
    <row r="5" spans="2:6">
      <c r="B5" s="979"/>
      <c r="C5" s="979"/>
      <c r="D5" s="983"/>
      <c r="E5" s="983"/>
      <c r="F5" s="983"/>
    </row>
    <row r="6" spans="2:6">
      <c r="B6" s="978" t="s">
        <v>1489</v>
      </c>
      <c r="C6" s="978"/>
      <c r="D6" s="982"/>
      <c r="E6" s="982" t="s">
        <v>1490</v>
      </c>
      <c r="F6" s="982" t="s">
        <v>1491</v>
      </c>
    </row>
    <row r="7" spans="2:6" ht="13.5" thickBot="1">
      <c r="B7" s="979"/>
      <c r="C7" s="979"/>
      <c r="D7" s="983"/>
      <c r="E7" s="983"/>
      <c r="F7" s="983"/>
    </row>
    <row r="8" spans="2:6" ht="51.75" thickBot="1">
      <c r="B8" s="980" t="s">
        <v>1492</v>
      </c>
      <c r="C8" s="981"/>
      <c r="D8" s="984"/>
      <c r="E8" s="984" t="s">
        <v>1494</v>
      </c>
      <c r="F8" s="985" t="s">
        <v>1493</v>
      </c>
    </row>
    <row r="9" spans="2:6">
      <c r="B9" s="979"/>
      <c r="C9" s="979"/>
      <c r="D9" s="983"/>
      <c r="E9" s="983"/>
      <c r="F9" s="983"/>
    </row>
    <row r="10" spans="2:6">
      <c r="B10" s="979"/>
      <c r="C10" s="979"/>
      <c r="D10" s="983"/>
      <c r="E10" s="983"/>
      <c r="F10" s="98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12</vt:i4>
      </vt:variant>
    </vt:vector>
  </HeadingPairs>
  <TitlesOfParts>
    <vt:vector size="24" baseType="lpstr">
      <vt:lpstr>EN13445-3</vt:lpstr>
      <vt:lpstr>VES EN 13445 int</vt:lpstr>
      <vt:lpstr>AD B7-B8</vt:lpstr>
      <vt:lpstr>DIN2505</vt:lpstr>
      <vt:lpstr>DIN weld neck</vt:lpstr>
      <vt:lpstr>Rectangular</vt:lpstr>
      <vt:lpstr>VES D0701</vt:lpstr>
      <vt:lpstr>D0701</vt:lpstr>
      <vt:lpstr>gasket factors</vt:lpstr>
      <vt:lpstr>boltdata</vt:lpstr>
      <vt:lpstr>ASME</vt:lpstr>
      <vt:lpstr>Compatibility Report</vt:lpstr>
      <vt:lpstr>boltdimension</vt:lpstr>
      <vt:lpstr>boltsize</vt:lpstr>
      <vt:lpstr>PAGE_NO_2</vt:lpstr>
      <vt:lpstr>'AD B7-B8'!Print_Area</vt:lpstr>
      <vt:lpstr>ASME!Print_Area</vt:lpstr>
      <vt:lpstr>'DIN weld neck'!Print_Area</vt:lpstr>
      <vt:lpstr>'DIN2505'!Print_Area</vt:lpstr>
      <vt:lpstr>'EN13445-3'!Print_Area</vt:lpstr>
      <vt:lpstr>'VES D0701'!Print_Area</vt:lpstr>
      <vt:lpstr>'VES EN 13445 int'!Print_Area</vt:lpstr>
      <vt:lpstr>SUBTITLE</vt:lpstr>
      <vt:lpstr>TITLE</vt:lpstr>
    </vt:vector>
  </TitlesOfParts>
  <Company>KSG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sabben01</dc:creator>
  <cp:lastModifiedBy>Sabben, Ronald v</cp:lastModifiedBy>
  <cp:lastPrinted>2015-09-30T13:07:34Z</cp:lastPrinted>
  <dcterms:created xsi:type="dcterms:W3CDTF">2007-05-07T12:37:21Z</dcterms:created>
  <dcterms:modified xsi:type="dcterms:W3CDTF">2015-09-30T14:21:41Z</dcterms:modified>
</cp:coreProperties>
</file>